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stemas\Downloads\entrevistas\"/>
    </mc:Choice>
  </mc:AlternateContent>
  <xr:revisionPtr revIDLastSave="0" documentId="13_ncr:1_{D9846738-65EF-4062-98AF-F72DFE6082AD}" xr6:coauthVersionLast="47" xr6:coauthVersionMax="47" xr10:uidLastSave="{00000000-0000-0000-0000-000000000000}"/>
  <bookViews>
    <workbookView xWindow="-120" yWindow="-120" windowWidth="20730" windowHeight="11160" tabRatio="500" activeTab="5" xr2:uid="{00000000-000D-0000-FFFF-FFFF00000000}"/>
  </bookViews>
  <sheets>
    <sheet name="📋 Instrucciones" sheetId="1" r:id="rId1"/>
    <sheet name="P1 1" sheetId="2" r:id="rId2"/>
    <sheet name="P2 2" sheetId="3" r:id="rId3"/>
    <sheet name="P3 3" sheetId="4" r:id="rId4"/>
    <sheet name="P4 4" sheetId="5" r:id="rId5"/>
    <sheet name="📊 Análisis" sheetId="6" r:id="rId6"/>
    <sheet name="🔀 Comparación Perfiles" sheetId="7" r:id="rId7"/>
    <sheet name="📝 Preguntas Abiertas" sheetId="8" r:id="rId8"/>
    <sheet name="🏆 Requisitos Prioritarios" sheetId="9" r:id="rId9"/>
    <sheet name="Benchmarkin Ap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2" i="5" l="1"/>
  <c r="P31" i="5"/>
  <c r="P30" i="5"/>
  <c r="P29" i="5"/>
  <c r="P28" i="5"/>
  <c r="D16" i="6"/>
  <c r="AH6" i="5"/>
  <c r="AI6" i="5"/>
  <c r="AH7" i="5"/>
  <c r="AI7" i="5"/>
  <c r="AH8" i="5"/>
  <c r="AI8" i="5"/>
  <c r="AH9" i="5"/>
  <c r="AI9" i="5"/>
  <c r="AH10" i="5"/>
  <c r="AI10" i="5"/>
  <c r="AB28" i="5"/>
  <c r="G12" i="6" s="1"/>
  <c r="AC28" i="5"/>
  <c r="G7" i="6" s="1"/>
  <c r="AD28" i="5"/>
  <c r="G15" i="6" s="1"/>
  <c r="AE28" i="5"/>
  <c r="G6" i="6" s="1"/>
  <c r="AF28" i="5"/>
  <c r="G9" i="6" s="1"/>
  <c r="AB29" i="5"/>
  <c r="AC29" i="5"/>
  <c r="AD29" i="5"/>
  <c r="AE29" i="5"/>
  <c r="AF29" i="5"/>
  <c r="AB30" i="5"/>
  <c r="AC30" i="5"/>
  <c r="AD30" i="5"/>
  <c r="AE30" i="5"/>
  <c r="AF30" i="5"/>
  <c r="AB31" i="5"/>
  <c r="AC31" i="5"/>
  <c r="AD31" i="5"/>
  <c r="AE31" i="5"/>
  <c r="AF31" i="5"/>
  <c r="AB32" i="5"/>
  <c r="AC32" i="5"/>
  <c r="AD32" i="5"/>
  <c r="AE32" i="5"/>
  <c r="AF32" i="5"/>
  <c r="Q50" i="10"/>
  <c r="P50" i="10"/>
  <c r="O50" i="10"/>
  <c r="Q39" i="10"/>
  <c r="P39" i="10"/>
  <c r="O39" i="10"/>
  <c r="Q27" i="10"/>
  <c r="P27" i="10"/>
  <c r="O27" i="10"/>
  <c r="Q15" i="10"/>
  <c r="P15" i="10"/>
  <c r="O15" i="10"/>
  <c r="G8" i="6" l="1"/>
  <c r="G13" i="6"/>
  <c r="G14" i="6"/>
  <c r="G20" i="6"/>
  <c r="K50" i="10"/>
  <c r="J50" i="10"/>
  <c r="I50" i="10"/>
  <c r="K39" i="10"/>
  <c r="J39" i="10"/>
  <c r="I39" i="10"/>
  <c r="K27" i="10"/>
  <c r="J27" i="10"/>
  <c r="I27" i="10"/>
  <c r="K15" i="10"/>
  <c r="J15" i="10"/>
  <c r="I15" i="10"/>
  <c r="E50" i="10"/>
  <c r="D50" i="10"/>
  <c r="C50" i="10"/>
  <c r="E39" i="10"/>
  <c r="D39" i="10"/>
  <c r="C39" i="10"/>
  <c r="E27" i="10"/>
  <c r="D27" i="10"/>
  <c r="C27" i="10"/>
  <c r="C15" i="10"/>
  <c r="D15" i="10"/>
  <c r="E15" i="10"/>
  <c r="I30" i="5"/>
  <c r="J30" i="5"/>
  <c r="K30" i="5"/>
  <c r="L30" i="5"/>
  <c r="M30" i="5"/>
  <c r="N30" i="5"/>
  <c r="O30" i="5"/>
  <c r="Q30" i="5"/>
  <c r="R30" i="5"/>
  <c r="S30" i="5"/>
  <c r="T30" i="5"/>
  <c r="U30" i="5"/>
  <c r="V30" i="5"/>
  <c r="W30" i="5"/>
  <c r="X30" i="5"/>
  <c r="Y30" i="5"/>
  <c r="Z30" i="5"/>
  <c r="AA30" i="5"/>
  <c r="AG30" i="5"/>
  <c r="H30" i="5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H30" i="2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H30" i="3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H30" i="4"/>
  <c r="I30" i="4"/>
  <c r="AG32" i="5"/>
  <c r="AA32" i="5"/>
  <c r="Z32" i="5"/>
  <c r="Y32" i="5"/>
  <c r="X32" i="5"/>
  <c r="W32" i="5"/>
  <c r="V32" i="5"/>
  <c r="U32" i="5"/>
  <c r="T32" i="5"/>
  <c r="S32" i="5"/>
  <c r="R32" i="5"/>
  <c r="Q32" i="5"/>
  <c r="O32" i="5"/>
  <c r="N32" i="5"/>
  <c r="M32" i="5"/>
  <c r="L32" i="5"/>
  <c r="K32" i="5"/>
  <c r="J32" i="5"/>
  <c r="I32" i="5"/>
  <c r="H32" i="5"/>
  <c r="AG31" i="5"/>
  <c r="AA31" i="5"/>
  <c r="Z31" i="5"/>
  <c r="Y31" i="5"/>
  <c r="X31" i="5"/>
  <c r="W31" i="5"/>
  <c r="V31" i="5"/>
  <c r="U31" i="5"/>
  <c r="T31" i="5"/>
  <c r="S31" i="5"/>
  <c r="R31" i="5"/>
  <c r="Q31" i="5"/>
  <c r="O31" i="5"/>
  <c r="N31" i="5"/>
  <c r="M31" i="5"/>
  <c r="L31" i="5"/>
  <c r="K31" i="5"/>
  <c r="J31" i="5"/>
  <c r="I31" i="5"/>
  <c r="H31" i="5"/>
  <c r="AG29" i="5"/>
  <c r="AA29" i="5"/>
  <c r="Z29" i="5"/>
  <c r="Y29" i="5"/>
  <c r="X29" i="5"/>
  <c r="W29" i="5"/>
  <c r="V29" i="5"/>
  <c r="U29" i="5"/>
  <c r="T29" i="5"/>
  <c r="S29" i="5"/>
  <c r="R29" i="5"/>
  <c r="Q29" i="5"/>
  <c r="O29" i="5"/>
  <c r="N29" i="5"/>
  <c r="M29" i="5"/>
  <c r="L29" i="5"/>
  <c r="K29" i="5"/>
  <c r="J29" i="5"/>
  <c r="I29" i="5"/>
  <c r="H29" i="5"/>
  <c r="AG28" i="5"/>
  <c r="G16" i="6" s="1"/>
  <c r="AA28" i="5"/>
  <c r="Z28" i="5"/>
  <c r="G26" i="6" s="1"/>
  <c r="Y28" i="5"/>
  <c r="X28" i="5"/>
  <c r="G22" i="6" s="1"/>
  <c r="W28" i="5"/>
  <c r="V28" i="5"/>
  <c r="U28" i="5"/>
  <c r="G24" i="6" s="1"/>
  <c r="T28" i="5"/>
  <c r="G32" i="6" s="1"/>
  <c r="H32" i="6" s="1"/>
  <c r="I32" i="6" s="1"/>
  <c r="S28" i="5"/>
  <c r="G31" i="6" s="1"/>
  <c r="H31" i="6" s="1"/>
  <c r="I31" i="6" s="1"/>
  <c r="R28" i="5"/>
  <c r="Q28" i="5"/>
  <c r="O28" i="5"/>
  <c r="N28" i="5"/>
  <c r="M28" i="5"/>
  <c r="L28" i="5"/>
  <c r="K28" i="5"/>
  <c r="G18" i="6" s="1"/>
  <c r="J28" i="5"/>
  <c r="I28" i="5"/>
  <c r="H28" i="5"/>
  <c r="G10" i="6" s="1"/>
  <c r="AJ25" i="5"/>
  <c r="AI25" i="5"/>
  <c r="AH25" i="5"/>
  <c r="AJ24" i="5"/>
  <c r="AI24" i="5"/>
  <c r="AH24" i="5"/>
  <c r="AJ23" i="5"/>
  <c r="AI23" i="5"/>
  <c r="AH23" i="5"/>
  <c r="AJ22" i="5"/>
  <c r="AI22" i="5"/>
  <c r="AH22" i="5"/>
  <c r="AJ21" i="5"/>
  <c r="AI21" i="5"/>
  <c r="AH21" i="5"/>
  <c r="AJ20" i="5"/>
  <c r="AI20" i="5"/>
  <c r="AH20" i="5"/>
  <c r="AJ19" i="5"/>
  <c r="AI19" i="5"/>
  <c r="AH19" i="5"/>
  <c r="AJ18" i="5"/>
  <c r="AI18" i="5"/>
  <c r="AH18" i="5"/>
  <c r="AJ17" i="5"/>
  <c r="AI17" i="5"/>
  <c r="AH17" i="5"/>
  <c r="AJ16" i="5"/>
  <c r="AI16" i="5"/>
  <c r="AH16" i="5"/>
  <c r="AJ15" i="5"/>
  <c r="AI15" i="5"/>
  <c r="AH15" i="5"/>
  <c r="AJ14" i="5"/>
  <c r="AI14" i="5"/>
  <c r="AH14" i="5"/>
  <c r="AJ13" i="5"/>
  <c r="AI13" i="5"/>
  <c r="AH13" i="5"/>
  <c r="AJ12" i="5"/>
  <c r="AI12" i="5"/>
  <c r="AH12" i="5"/>
  <c r="AJ11" i="5"/>
  <c r="AI11" i="5"/>
  <c r="AH11" i="5"/>
  <c r="AJ10" i="5"/>
  <c r="AJ9" i="5"/>
  <c r="AJ8" i="5"/>
  <c r="AJ7" i="5"/>
  <c r="AJ6" i="5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AA28" i="4"/>
  <c r="F28" i="6" s="1"/>
  <c r="H28" i="6" s="1"/>
  <c r="Z28" i="4"/>
  <c r="F27" i="6" s="1"/>
  <c r="Y28" i="4"/>
  <c r="F26" i="6" s="1"/>
  <c r="X28" i="4"/>
  <c r="F25" i="6" s="1"/>
  <c r="W28" i="4"/>
  <c r="F24" i="6" s="1"/>
  <c r="V28" i="4"/>
  <c r="F22" i="6" s="1"/>
  <c r="U28" i="4"/>
  <c r="F21" i="6" s="1"/>
  <c r="T28" i="4"/>
  <c r="F20" i="6" s="1"/>
  <c r="S28" i="4"/>
  <c r="F19" i="6" s="1"/>
  <c r="R28" i="4"/>
  <c r="F18" i="6" s="1"/>
  <c r="Q28" i="4"/>
  <c r="F16" i="6" s="1"/>
  <c r="P28" i="4"/>
  <c r="F15" i="6" s="1"/>
  <c r="O28" i="4"/>
  <c r="F14" i="6" s="1"/>
  <c r="N28" i="4"/>
  <c r="F13" i="6" s="1"/>
  <c r="M28" i="4"/>
  <c r="F12" i="6" s="1"/>
  <c r="L28" i="4"/>
  <c r="F10" i="6" s="1"/>
  <c r="K28" i="4"/>
  <c r="F9" i="6" s="1"/>
  <c r="J28" i="4"/>
  <c r="F8" i="6" s="1"/>
  <c r="I28" i="4"/>
  <c r="F7" i="6" s="1"/>
  <c r="H28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AA28" i="3"/>
  <c r="E28" i="6" s="1"/>
  <c r="Z28" i="3"/>
  <c r="E27" i="6" s="1"/>
  <c r="Y28" i="3"/>
  <c r="E26" i="6" s="1"/>
  <c r="X28" i="3"/>
  <c r="E25" i="6" s="1"/>
  <c r="W28" i="3"/>
  <c r="V28" i="3"/>
  <c r="E22" i="6" s="1"/>
  <c r="U28" i="3"/>
  <c r="E21" i="6" s="1"/>
  <c r="T28" i="3"/>
  <c r="E20" i="6" s="1"/>
  <c r="S28" i="3"/>
  <c r="E19" i="6" s="1"/>
  <c r="R28" i="3"/>
  <c r="E18" i="6" s="1"/>
  <c r="Q28" i="3"/>
  <c r="E16" i="6" s="1"/>
  <c r="P28" i="3"/>
  <c r="E15" i="6" s="1"/>
  <c r="O28" i="3"/>
  <c r="E14" i="6" s="1"/>
  <c r="N28" i="3"/>
  <c r="E13" i="6" s="1"/>
  <c r="M28" i="3"/>
  <c r="E12" i="6" s="1"/>
  <c r="L28" i="3"/>
  <c r="E10" i="6" s="1"/>
  <c r="K28" i="3"/>
  <c r="E9" i="6" s="1"/>
  <c r="J28" i="3"/>
  <c r="E8" i="6" s="1"/>
  <c r="I28" i="3"/>
  <c r="E7" i="6" s="1"/>
  <c r="H28" i="3"/>
  <c r="AD25" i="3"/>
  <c r="AC25" i="3"/>
  <c r="AB25" i="3"/>
  <c r="AD24" i="3"/>
  <c r="AC24" i="3"/>
  <c r="AB24" i="3"/>
  <c r="AD23" i="3"/>
  <c r="AC23" i="3"/>
  <c r="AB23" i="3"/>
  <c r="AD22" i="3"/>
  <c r="AC22" i="3"/>
  <c r="AB22" i="3"/>
  <c r="AD21" i="3"/>
  <c r="AC21" i="3"/>
  <c r="AB21" i="3"/>
  <c r="AD20" i="3"/>
  <c r="AC20" i="3"/>
  <c r="AB20" i="3"/>
  <c r="AD19" i="3"/>
  <c r="AC19" i="3"/>
  <c r="AB19" i="3"/>
  <c r="AD18" i="3"/>
  <c r="AC18" i="3"/>
  <c r="AB18" i="3"/>
  <c r="AD17" i="3"/>
  <c r="AC17" i="3"/>
  <c r="AB17" i="3"/>
  <c r="AD16" i="3"/>
  <c r="AC16" i="3"/>
  <c r="AB16" i="3"/>
  <c r="AD15" i="3"/>
  <c r="AC15" i="3"/>
  <c r="AB15" i="3"/>
  <c r="AD14" i="3"/>
  <c r="AC14" i="3"/>
  <c r="AB14" i="3"/>
  <c r="AD13" i="3"/>
  <c r="AC13" i="3"/>
  <c r="AB13" i="3"/>
  <c r="AD12" i="3"/>
  <c r="AC12" i="3"/>
  <c r="AB12" i="3"/>
  <c r="AD11" i="3"/>
  <c r="AC11" i="3"/>
  <c r="AB11" i="3"/>
  <c r="AD10" i="3"/>
  <c r="AC10" i="3"/>
  <c r="AB10" i="3"/>
  <c r="AD9" i="3"/>
  <c r="AC9" i="3"/>
  <c r="AB9" i="3"/>
  <c r="AD8" i="3"/>
  <c r="AC8" i="3"/>
  <c r="AB8" i="3"/>
  <c r="AD7" i="3"/>
  <c r="AC7" i="3"/>
  <c r="AB7" i="3"/>
  <c r="AD6" i="3"/>
  <c r="AC6" i="3"/>
  <c r="AB6" i="3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AA28" i="2"/>
  <c r="D28" i="6" s="1"/>
  <c r="Z28" i="2"/>
  <c r="D27" i="6" s="1"/>
  <c r="Y28" i="2"/>
  <c r="D26" i="6" s="1"/>
  <c r="X28" i="2"/>
  <c r="D25" i="6" s="1"/>
  <c r="W28" i="2"/>
  <c r="V28" i="2"/>
  <c r="D22" i="6" s="1"/>
  <c r="U28" i="2"/>
  <c r="D21" i="6" s="1"/>
  <c r="T28" i="2"/>
  <c r="D20" i="6" s="1"/>
  <c r="S28" i="2"/>
  <c r="D19" i="6" s="1"/>
  <c r="R28" i="2"/>
  <c r="D18" i="6" s="1"/>
  <c r="Q28" i="2"/>
  <c r="P28" i="2"/>
  <c r="D15" i="6" s="1"/>
  <c r="O28" i="2"/>
  <c r="D14" i="6" s="1"/>
  <c r="N28" i="2"/>
  <c r="D13" i="6" s="1"/>
  <c r="M28" i="2"/>
  <c r="D12" i="6" s="1"/>
  <c r="L28" i="2"/>
  <c r="D10" i="6" s="1"/>
  <c r="K28" i="2"/>
  <c r="D9" i="6" s="1"/>
  <c r="J28" i="2"/>
  <c r="D8" i="6" s="1"/>
  <c r="I28" i="2"/>
  <c r="D7" i="6" s="1"/>
  <c r="H28" i="2"/>
  <c r="AD25" i="2"/>
  <c r="AC25" i="2"/>
  <c r="AB25" i="2"/>
  <c r="AD24" i="2"/>
  <c r="AC24" i="2"/>
  <c r="AB24" i="2"/>
  <c r="AD23" i="2"/>
  <c r="AC23" i="2"/>
  <c r="AB23" i="2"/>
  <c r="AD22" i="2"/>
  <c r="AC22" i="2"/>
  <c r="AB22" i="2"/>
  <c r="AD21" i="2"/>
  <c r="AC21" i="2"/>
  <c r="AB21" i="2"/>
  <c r="AD20" i="2"/>
  <c r="AC20" i="2"/>
  <c r="AB20" i="2"/>
  <c r="AD19" i="2"/>
  <c r="AC19" i="2"/>
  <c r="AB19" i="2"/>
  <c r="AD18" i="2"/>
  <c r="AC18" i="2"/>
  <c r="AB18" i="2"/>
  <c r="AD17" i="2"/>
  <c r="AC17" i="2"/>
  <c r="AB17" i="2"/>
  <c r="AD16" i="2"/>
  <c r="AC16" i="2"/>
  <c r="AB16" i="2"/>
  <c r="AD15" i="2"/>
  <c r="AC15" i="2"/>
  <c r="AB15" i="2"/>
  <c r="AD14" i="2"/>
  <c r="AC14" i="2"/>
  <c r="AB14" i="2"/>
  <c r="AD13" i="2"/>
  <c r="AC13" i="2"/>
  <c r="AB13" i="2"/>
  <c r="AD12" i="2"/>
  <c r="AC12" i="2"/>
  <c r="AB12" i="2"/>
  <c r="AD11" i="2"/>
  <c r="AC11" i="2"/>
  <c r="AB11" i="2"/>
  <c r="AD10" i="2"/>
  <c r="AC10" i="2"/>
  <c r="AB10" i="2"/>
  <c r="AD9" i="2"/>
  <c r="AC9" i="2"/>
  <c r="AB9" i="2"/>
  <c r="AD8" i="2"/>
  <c r="AC8" i="2"/>
  <c r="AB8" i="2"/>
  <c r="AD7" i="2"/>
  <c r="AC7" i="2"/>
  <c r="AB7" i="2"/>
  <c r="AD6" i="2"/>
  <c r="AC6" i="2"/>
  <c r="AB6" i="2"/>
  <c r="G30" i="6" l="1"/>
  <c r="H30" i="6" s="1"/>
  <c r="I30" i="6" s="1"/>
  <c r="G25" i="6"/>
  <c r="G27" i="6"/>
  <c r="G21" i="6"/>
  <c r="H21" i="6" s="1"/>
  <c r="D18" i="9" s="1"/>
  <c r="E18" i="9" s="1"/>
  <c r="G19" i="6"/>
  <c r="G33" i="6"/>
  <c r="H33" i="6" s="1"/>
  <c r="I33" i="6" s="1"/>
  <c r="AH31" i="5"/>
  <c r="AH29" i="5"/>
  <c r="F5" i="7"/>
  <c r="AH32" i="5"/>
  <c r="H7" i="6"/>
  <c r="H26" i="6"/>
  <c r="I26" i="6" s="1"/>
  <c r="H16" i="6"/>
  <c r="I16" i="6" s="1"/>
  <c r="H12" i="6"/>
  <c r="I12" i="6" s="1"/>
  <c r="H13" i="6"/>
  <c r="D11" i="9" s="1"/>
  <c r="E11" i="9" s="1"/>
  <c r="AB31" i="4"/>
  <c r="AB32" i="4"/>
  <c r="E5" i="7"/>
  <c r="AB29" i="4"/>
  <c r="I28" i="6"/>
  <c r="H27" i="6"/>
  <c r="I27" i="6" s="1"/>
  <c r="D8" i="7"/>
  <c r="H25" i="6"/>
  <c r="I25" i="6" s="1"/>
  <c r="H19" i="6"/>
  <c r="I19" i="6" s="1"/>
  <c r="H14" i="6"/>
  <c r="I14" i="6" s="1"/>
  <c r="H9" i="6"/>
  <c r="I9" i="6" s="1"/>
  <c r="D5" i="7"/>
  <c r="AB32" i="3"/>
  <c r="AB31" i="3"/>
  <c r="AB29" i="3"/>
  <c r="C8" i="7"/>
  <c r="AB29" i="2"/>
  <c r="AB32" i="2"/>
  <c r="C5" i="7"/>
  <c r="AB31" i="2"/>
  <c r="AH30" i="5"/>
  <c r="AB30" i="2"/>
  <c r="AB30" i="3"/>
  <c r="AB30" i="4"/>
  <c r="H15" i="6"/>
  <c r="H18" i="6"/>
  <c r="H20" i="6"/>
  <c r="H10" i="6"/>
  <c r="H8" i="6"/>
  <c r="H22" i="6"/>
  <c r="AB28" i="3"/>
  <c r="C6" i="7"/>
  <c r="E8" i="7"/>
  <c r="D24" i="6"/>
  <c r="D6" i="7"/>
  <c r="F8" i="7"/>
  <c r="E24" i="6"/>
  <c r="E6" i="7"/>
  <c r="AB28" i="2"/>
  <c r="F6" i="7"/>
  <c r="C9" i="7"/>
  <c r="D9" i="7"/>
  <c r="C7" i="7"/>
  <c r="E9" i="7"/>
  <c r="AH28" i="5"/>
  <c r="D7" i="7"/>
  <c r="F9" i="7"/>
  <c r="D6" i="6"/>
  <c r="E7" i="7"/>
  <c r="E6" i="6"/>
  <c r="F7" i="7"/>
  <c r="AB28" i="4"/>
  <c r="F6" i="6"/>
  <c r="D6" i="9" l="1"/>
  <c r="E6" i="9" s="1"/>
  <c r="I7" i="6"/>
  <c r="D10" i="9"/>
  <c r="E10" i="9" s="1"/>
  <c r="D22" i="9"/>
  <c r="E22" i="9" s="1"/>
  <c r="D21" i="9"/>
  <c r="E21" i="9" s="1"/>
  <c r="H24" i="6"/>
  <c r="I24" i="6" s="1"/>
  <c r="D24" i="9"/>
  <c r="E24" i="9" s="1"/>
  <c r="D23" i="9"/>
  <c r="E23" i="9" s="1"/>
  <c r="I21" i="6"/>
  <c r="D16" i="9"/>
  <c r="E16" i="9" s="1"/>
  <c r="D14" i="9"/>
  <c r="E14" i="9" s="1"/>
  <c r="D12" i="9"/>
  <c r="E12" i="9" s="1"/>
  <c r="I13" i="6"/>
  <c r="G6" i="7"/>
  <c r="D8" i="9"/>
  <c r="E8" i="9" s="1"/>
  <c r="G5" i="7"/>
  <c r="G8" i="7"/>
  <c r="D15" i="9"/>
  <c r="E15" i="9" s="1"/>
  <c r="I18" i="6"/>
  <c r="D13" i="9"/>
  <c r="E13" i="9" s="1"/>
  <c r="I15" i="6"/>
  <c r="G7" i="7"/>
  <c r="D17" i="9"/>
  <c r="E17" i="9" s="1"/>
  <c r="I20" i="6"/>
  <c r="D9" i="9"/>
  <c r="E9" i="9" s="1"/>
  <c r="I10" i="6"/>
  <c r="G9" i="7"/>
  <c r="D19" i="9"/>
  <c r="E19" i="9" s="1"/>
  <c r="I22" i="6"/>
  <c r="H6" i="6"/>
  <c r="I6" i="6" s="1"/>
  <c r="D7" i="9"/>
  <c r="E7" i="9" s="1"/>
  <c r="I8" i="6"/>
  <c r="D20" i="9" l="1"/>
  <c r="E20" i="9" s="1"/>
  <c r="D5" i="9"/>
  <c r="E5" i="9" s="1"/>
</calcChain>
</file>

<file path=xl/sharedStrings.xml><?xml version="1.0" encoding="utf-8"?>
<sst xmlns="http://schemas.openxmlformats.org/spreadsheetml/2006/main" count="815" uniqueCount="430">
  <si>
    <t>PLANTILLA DE ANÁLISIS DE ENCUESTAS — TRABAJO DE GRADO</t>
  </si>
  <si>
    <t>Aplicación móvil multimodal para gestión de medicamentos domiciliarios</t>
  </si>
  <si>
    <t>ℹ️  CONTENIDO DEL LIBRO</t>
  </si>
  <si>
    <t>Hoja 1</t>
  </si>
  <si>
    <t>📋 Instrucciones — Este documento</t>
  </si>
  <si>
    <t>Hojas 2–5</t>
  </si>
  <si>
    <t>Datos Perfil 1, 2, 3 y 4 — Ingreso de respuestas Likert y datos del participante</t>
  </si>
  <si>
    <t>Hoja 6</t>
  </si>
  <si>
    <t>📊 Análisis — Estadísticas descriptivas automáticas por perfil e ítem</t>
  </si>
  <si>
    <t>Hoja 7</t>
  </si>
  <si>
    <t>🔀 Comparación — Comparación de medias entre los 4 perfiles</t>
  </si>
  <si>
    <t>Hoja 8</t>
  </si>
  <si>
    <t>📝 Preguntas Abiertas — Registro y codificación de respuestas cualitativas</t>
  </si>
  <si>
    <t>Hoja 9</t>
  </si>
  <si>
    <t>🏆 Requisitos — Ranking automático de requisitos por prioridad</t>
  </si>
  <si>
    <t>✏️  CÓMO INGRESAR DATOS</t>
  </si>
  <si>
    <t>Paso 1</t>
  </si>
  <si>
    <t>Ir a la hoja del perfil correspondiente (ej. 'P1 Adulto Mayor')</t>
  </si>
  <si>
    <t>Paso 2</t>
  </si>
  <si>
    <t>Ingresar los datos del participante en las columnas B–G</t>
  </si>
  <si>
    <t>Paso 3</t>
  </si>
  <si>
    <t>Ingresar las respuestas Likert (solo valores 1 a 5) en las columnas H–AA</t>
  </si>
  <si>
    <t>Paso 4</t>
  </si>
  <si>
    <t>Las celdas en AMARILLO tienen validación — solo aceptan 1, 2, 3, 4 o 5</t>
  </si>
  <si>
    <t>Paso 5</t>
  </si>
  <si>
    <t>Los análisis en las hojas 6–9 se actualizan automáticamente</t>
  </si>
  <si>
    <t>🎨  CÓDIGO DE COLORES DE LOS PERFILES</t>
  </si>
  <si>
    <t>Perfil 1</t>
  </si>
  <si>
    <t>65+ años | Múltiples medicamentos crónicos | Alta necesidad de accesibilidad</t>
  </si>
  <si>
    <t>Perfil 2</t>
  </si>
  <si>
    <t>40–64 años | Pocos medicamentos crónicos | Recordatorios discretos + inventario básico</t>
  </si>
  <si>
    <t>Perfil 3</t>
  </si>
  <si>
    <t>18–39 años | Tratamientos cortos/intermitentes | Interfaz moderna + reposición rápida</t>
  </si>
  <si>
    <t>Perfil 4</t>
  </si>
  <si>
    <t>⚠️  REGLAS IMPORTANTES</t>
  </si>
  <si>
    <t>Validación</t>
  </si>
  <si>
    <t>Solo ingresar valores 1–5 en celdas de respuesta Likert. No dejar celdas en 0.</t>
  </si>
  <si>
    <t>Participantes</t>
  </si>
  <si>
    <t>Cada fila = 1 participante. No combinar perfiles en la misma hoja.</t>
  </si>
  <si>
    <t>Fórmulas</t>
  </si>
  <si>
    <t>NO modificar las columnas AB en adelante (son cálculos automáticos).</t>
  </si>
  <si>
    <t>Preguntas abiertas</t>
  </si>
  <si>
    <t>Registrar en la hoja 'Preguntas Abiertas' con su código y perfil.</t>
  </si>
  <si>
    <t>Respaldo</t>
  </si>
  <si>
    <t>Guardar una copia del archivo antes de ingresar datos masivos.</t>
  </si>
  <si>
    <t>Perfil 1 — Plantilla de Ingreso de Datos</t>
  </si>
  <si>
    <t>Accesibilidad Multimodal</t>
  </si>
  <si>
    <t>Interfaz Adultos Mayores</t>
  </si>
  <si>
    <t>Planificación y Recordatorios</t>
  </si>
  <si>
    <t>Inventario / Stock</t>
  </si>
  <si>
    <t>Código</t>
  </si>
  <si>
    <t>Fecha</t>
  </si>
  <si>
    <t>Edad</t>
  </si>
  <si>
    <t>Género</t>
  </si>
  <si>
    <t>Observaciones</t>
  </si>
  <si>
    <t>Ítem
1</t>
  </si>
  <si>
    <t>Ítem
2</t>
  </si>
  <si>
    <t>Ítem
3</t>
  </si>
  <si>
    <t>Ítem
4</t>
  </si>
  <si>
    <t>Ítem
5</t>
  </si>
  <si>
    <t>Ítem
6</t>
  </si>
  <si>
    <t>Ítem
7</t>
  </si>
  <si>
    <t>Ítem
8</t>
  </si>
  <si>
    <t>Ítem
9</t>
  </si>
  <si>
    <t>Ítem
10</t>
  </si>
  <si>
    <t>Ítem
11</t>
  </si>
  <si>
    <t>Ítem
12</t>
  </si>
  <si>
    <t>Ítem
13</t>
  </si>
  <si>
    <t>Ítem
14</t>
  </si>
  <si>
    <t>Ítem
15</t>
  </si>
  <si>
    <t>Ítem
16</t>
  </si>
  <si>
    <t>Ítem
17</t>
  </si>
  <si>
    <t>Ítem
18</t>
  </si>
  <si>
    <t>Ítem
19</t>
  </si>
  <si>
    <t>Ítem
20</t>
  </si>
  <si>
    <t>Promedio</t>
  </si>
  <si>
    <t>Desv.
Estd.</t>
  </si>
  <si>
    <t>Respuestas</t>
  </si>
  <si>
    <t>Prefiero hablarle a la app en lugar de escribir con el teclado.</t>
  </si>
  <si>
    <t>Me sería útil que la app me lea los recordatorios en voz alta.</t>
  </si>
  <si>
    <t>Usaría comandos de voz para confirmar la toma de un medicamento.</t>
  </si>
  <si>
    <t>Prefiero botones grandes y texto grande en la pantalla.</t>
  </si>
  <si>
    <t>Me costaría aprender a usar una aplicación nueva en el celular.</t>
  </si>
  <si>
    <t>Las letras pequeñas me dificultan el uso de apps en el celular.</t>
  </si>
  <si>
    <t>Prefiero pantallas con pocos elementos y sin mucha información.</t>
  </si>
  <si>
    <t>El buen contraste texto/fondo me ayuda a leer mejor.</t>
  </si>
  <si>
    <t>Me gustaría que los botones tengan etiqueta de texto debajo del ícono.</t>
  </si>
  <si>
    <t>Necesito que alguien me ayude a configurar la app inicialmente.</t>
  </si>
  <si>
    <t>Se me olvida con frecuencia tomar alguno de mis medicamentos.</t>
  </si>
  <si>
    <t>Tengo dificultades para recordar cuándo tomar cada medicamento.</t>
  </si>
  <si>
    <t>Me sería útil un aviso de voz y sonido en el momento de tomar el med.</t>
  </si>
  <si>
    <t>Necesito un informe de mis tomas para mostrar al médico o cuidador.</t>
  </si>
  <si>
    <t>Me ayudaría ver el horario de todos mis medicamentos del día en una pantalla.</t>
  </si>
  <si>
    <t>Se me ha acabado algún medicamento en casa sin darme cuenta a tiempo.</t>
  </si>
  <si>
    <t>Me sería útil que la app avise cuando queda poco medicamento.</t>
  </si>
  <si>
    <t>Necesito recordatorios para ir a la farmacia o reclamar medicamentos.</t>
  </si>
  <si>
    <t>Me gustaría que la app lleve automáticamente el conteo de pastillas.</t>
  </si>
  <si>
    <t>Me sería difícil llevar un control manual de medicamentos en casa.</t>
  </si>
  <si>
    <t>Auto-calculado</t>
  </si>
  <si>
    <t>P1-01</t>
  </si>
  <si>
    <t>P1-02</t>
  </si>
  <si>
    <t>P1-03</t>
  </si>
  <si>
    <t>P1-04</t>
  </si>
  <si>
    <t>P1-05</t>
  </si>
  <si>
    <t>P1-06</t>
  </si>
  <si>
    <t>P1-07</t>
  </si>
  <si>
    <t>P1-08</t>
  </si>
  <si>
    <t>P1-09</t>
  </si>
  <si>
    <t>P1-10</t>
  </si>
  <si>
    <t>P1-11</t>
  </si>
  <si>
    <t>P1-12</t>
  </si>
  <si>
    <t>P1-13</t>
  </si>
  <si>
    <t>P1-14</t>
  </si>
  <si>
    <t>P1-15</t>
  </si>
  <si>
    <t>P1-16</t>
  </si>
  <si>
    <t>P1-17</t>
  </si>
  <si>
    <t>P1-18</t>
  </si>
  <si>
    <t>P1-19</t>
  </si>
  <si>
    <t>P1-20</t>
  </si>
  <si>
    <t>Media por ítem</t>
  </si>
  <si>
    <t>Desv. Estándar</t>
  </si>
  <si>
    <t>Mínimo</t>
  </si>
  <si>
    <t>Máximo</t>
  </si>
  <si>
    <t>% Acuerdo (≥4)</t>
  </si>
  <si>
    <t>Perfil 2 — Plantilla de Ingreso de Datos</t>
  </si>
  <si>
    <t>Usabilidad y Accesibilidad</t>
  </si>
  <si>
    <t>Inventario y Alertas</t>
  </si>
  <si>
    <t>Interfaz e Integración</t>
  </si>
  <si>
    <t>P2-01</t>
  </si>
  <si>
    <t>P2-02</t>
  </si>
  <si>
    <t>P2-03</t>
  </si>
  <si>
    <t>P2-04</t>
  </si>
  <si>
    <t>P2-05</t>
  </si>
  <si>
    <t>P2-06</t>
  </si>
  <si>
    <t>P2-07</t>
  </si>
  <si>
    <t>P2-08</t>
  </si>
  <si>
    <t>P2-09</t>
  </si>
  <si>
    <t>P2-10</t>
  </si>
  <si>
    <t>P2-11</t>
  </si>
  <si>
    <t>P2-12</t>
  </si>
  <si>
    <t>P2-13</t>
  </si>
  <si>
    <t>P2-14</t>
  </si>
  <si>
    <t>P2-15</t>
  </si>
  <si>
    <t>P2-16</t>
  </si>
  <si>
    <t>P2-17</t>
  </si>
  <si>
    <t>P2-18</t>
  </si>
  <si>
    <t>P2-19</t>
  </si>
  <si>
    <t>P2-20</t>
  </si>
  <si>
    <t>Perfil 3 — Plantilla de Ingreso de Datos</t>
  </si>
  <si>
    <t>Usabilidad y Personalización</t>
  </si>
  <si>
    <t>Recordatorios Ciclos Cortos</t>
  </si>
  <si>
    <t>Inventario y Reposición Ágil</t>
  </si>
  <si>
    <t>Interfaz y Experiencia</t>
  </si>
  <si>
    <t>P3-01</t>
  </si>
  <si>
    <t>P3-02</t>
  </si>
  <si>
    <t>P3-03</t>
  </si>
  <si>
    <t>P3-04</t>
  </si>
  <si>
    <t>P3-05</t>
  </si>
  <si>
    <t>P3-06</t>
  </si>
  <si>
    <t>P3-07</t>
  </si>
  <si>
    <t>P3-08</t>
  </si>
  <si>
    <t>P3-09</t>
  </si>
  <si>
    <t>P3-10</t>
  </si>
  <si>
    <t>P3-11</t>
  </si>
  <si>
    <t>P3-12</t>
  </si>
  <si>
    <t>P3-13</t>
  </si>
  <si>
    <t>P3-14</t>
  </si>
  <si>
    <t>P3-15</t>
  </si>
  <si>
    <t>P3-16</t>
  </si>
  <si>
    <t>P3-17</t>
  </si>
  <si>
    <t>P3-18</t>
  </si>
  <si>
    <t>P3-19</t>
  </si>
  <si>
    <t>P3-20</t>
  </si>
  <si>
    <t>Perfil 4 — Plantilla de Ingreso de Datos</t>
  </si>
  <si>
    <t>P4-01</t>
  </si>
  <si>
    <t>P4-02</t>
  </si>
  <si>
    <t>P4-03</t>
  </si>
  <si>
    <t>P4-04</t>
  </si>
  <si>
    <t>P4-05</t>
  </si>
  <si>
    <t>P4-06</t>
  </si>
  <si>
    <t>P4-07</t>
  </si>
  <si>
    <t>P4-08</t>
  </si>
  <si>
    <t>P4-09</t>
  </si>
  <si>
    <t>P4-10</t>
  </si>
  <si>
    <t>P4-11</t>
  </si>
  <si>
    <t>P4-12</t>
  </si>
  <si>
    <t>P4-13</t>
  </si>
  <si>
    <t>P4-14</t>
  </si>
  <si>
    <t>P4-15</t>
  </si>
  <si>
    <t>P4-16</t>
  </si>
  <si>
    <t>P4-17</t>
  </si>
  <si>
    <t>P4-18</t>
  </si>
  <si>
    <t>P4-19</t>
  </si>
  <si>
    <t>P4-20</t>
  </si>
  <si>
    <t>ANÁLISIS DESCRIPTIVO POR ÍTEM Y PERFIL</t>
  </si>
  <si>
    <t>#</t>
  </si>
  <si>
    <t>Ítem / Afirmación</t>
  </si>
  <si>
    <t>Media P1
(Adulto Mayor)</t>
  </si>
  <si>
    <t>Media P2
(Crónico Simple)</t>
  </si>
  <si>
    <t>Media P3
(Joven Corto)</t>
  </si>
  <si>
    <t>Promedio
Global</t>
  </si>
  <si>
    <t>Prioridad</t>
  </si>
  <si>
    <t>SECCIÓN A — ACCESIBILIDAD MULTIMODAL / USABILIDAD</t>
  </si>
  <si>
    <t>Preferencia por interacción por voz</t>
  </si>
  <si>
    <t>Salida/retroalimentación de audio</t>
  </si>
  <si>
    <t>Confirmación de toma por voz</t>
  </si>
  <si>
    <t>Interacción táctil / botones amplios</t>
  </si>
  <si>
    <t>Facilidad de aprendizaje / adopción</t>
  </si>
  <si>
    <t>SECCIÓN B — INTERFAZ / PLANIFICACIÓN</t>
  </si>
  <si>
    <t>Accesibilidad visual (tamaño, contraste)</t>
  </si>
  <si>
    <t>Simplicidad de la interfaz</t>
  </si>
  <si>
    <t>Contraste y legibilidad</t>
  </si>
  <si>
    <t>Etiquetas en íconos / elementos claros</t>
  </si>
  <si>
    <t>Soporte inicial o asistencia al usuario</t>
  </si>
  <si>
    <t>SECCIÓN C — INVENTARIO / RECORDATORIOS</t>
  </si>
  <si>
    <t>Frecuencia de olvido de medicamentos</t>
  </si>
  <si>
    <t>Dificultad en manejo de horarios</t>
  </si>
  <si>
    <t>Recordatorio con sonido / voz</t>
  </si>
  <si>
    <t>Generación de informes de adherencia</t>
  </si>
  <si>
    <t>Vista consolidada de horario diario</t>
  </si>
  <si>
    <t>SECCIÓN D — EXPERIENCIA E INTEGRACIÓN</t>
  </si>
  <si>
    <t>Desabastecimiento de medicamentos</t>
  </si>
  <si>
    <t>Alerta de stock bajo</t>
  </si>
  <si>
    <t>Recordatorio de compra / reclamación</t>
  </si>
  <si>
    <t>Conteo automático de existencias</t>
  </si>
  <si>
    <t>Dificultad en control manual</t>
  </si>
  <si>
    <t>COMPARACIÓN DE MEDIAS POR SECCIÓN ENTRE PERFILES</t>
  </si>
  <si>
    <t>Dimensión / Sección</t>
  </si>
  <si>
    <t>Perfil 1
Adulto Mayor</t>
  </si>
  <si>
    <t>Perfil 2
Crónico Simple</t>
  </si>
  <si>
    <t>Perfil 3
Joven Corto</t>
  </si>
  <si>
    <t>Diferencia
Máx–Mín</t>
  </si>
  <si>
    <t>Interfaz / Usabilidad Visual</t>
  </si>
  <si>
    <t>Inventario y Stock</t>
  </si>
  <si>
    <t>PROMEDIO GLOBAL</t>
  </si>
  <si>
    <t>REGISTRO Y CODIFICACIÓN DE PREGUNTAS ABIERTAS</t>
  </si>
  <si>
    <t>Perfil
(1–4)</t>
  </si>
  <si>
    <t>Pregunta
(21–25)</t>
  </si>
  <si>
    <t>Ítem
Evaluado</t>
  </si>
  <si>
    <t>Respuesta del participante</t>
  </si>
  <si>
    <t>Categoría
emergente</t>
  </si>
  <si>
    <t>Hallazgo
clave</t>
  </si>
  <si>
    <t>RANKING DE REQUISITOS PRIORIZADOS POR EVIDENCIA DE USUARIOS</t>
  </si>
  <si>
    <t>Los promedios se calculan automáticamente desde la hoja 'Análisis'. Ordenar manualmente de mayor a menor por 'Media Global' para obtener el ranking.</t>
  </si>
  <si>
    <t>Pos.</t>
  </si>
  <si>
    <t>Requisito / Funcionalidad</t>
  </si>
  <si>
    <t>Media
Global</t>
  </si>
  <si>
    <t>Prioridad
MVP</t>
  </si>
  <si>
    <t>Perfil que más
lo demanda</t>
  </si>
  <si>
    <t>Módulo de
la app</t>
  </si>
  <si>
    <t>Nombre</t>
  </si>
  <si>
    <t>Esperanza Gonzales Yepes</t>
  </si>
  <si>
    <t>F</t>
  </si>
  <si>
    <t>Maria Floralba Barajas Jaimes</t>
  </si>
  <si>
    <t>Flor De Maria Crispin Blanco</t>
  </si>
  <si>
    <t>Parkinson</t>
  </si>
  <si>
    <t>Problemas cardiovasculares, presion alta</t>
  </si>
  <si>
    <t>Bronquitis Cronica</t>
  </si>
  <si>
    <t>Nombres</t>
  </si>
  <si>
    <t>Miriam Jaimes Quintero</t>
  </si>
  <si>
    <t>M</t>
  </si>
  <si>
    <t>Alejandro Marin Pinzon</t>
  </si>
  <si>
    <t>Rinitis Alergica</t>
  </si>
  <si>
    <t>Jesica Paola Rodriguez Correa</t>
  </si>
  <si>
    <t>Sindrome de colon irritable</t>
  </si>
  <si>
    <t xml:space="preserve">Jessica Yulieth Villamil Uribe </t>
  </si>
  <si>
    <t>Planificacion, Patillas Hormonales</t>
  </si>
  <si>
    <t>Luis Carlos Acevedo Gomez</t>
  </si>
  <si>
    <t>Esclerosis Multiple</t>
  </si>
  <si>
    <t>Diabetes, colesterol y trigliceridos elevados</t>
  </si>
  <si>
    <t>Cedula
Participante</t>
  </si>
  <si>
    <t>Medisafe</t>
  </si>
  <si>
    <t>MyTherapy</t>
  </si>
  <si>
    <t>Pill Reminder-Sergio Licea App</t>
  </si>
  <si>
    <t>Criterio</t>
  </si>
  <si>
    <t>Entrada por reconocimiento de voz (STT)</t>
  </si>
  <si>
    <t>Respuesta auditiva / síntesis de voz (TTS)</t>
  </si>
  <si>
    <t>Confirmación vocal de toma de medicamento</t>
  </si>
  <si>
    <t>Interacción táctil con botones amplios</t>
  </si>
  <si>
    <t>Lector de pantalla / narración automática</t>
  </si>
  <si>
    <t>Alternativa de texto cuando la voz falla</t>
  </si>
  <si>
    <t>Soporte sin necesidad de escritura con teclado</t>
  </si>
  <si>
    <t>Totales max 35</t>
  </si>
  <si>
    <t>Dimensión 2: Interfaz para Adultos Mayores</t>
  </si>
  <si>
    <t>Dimensión 1: Accesibilidad Multimodal — Énfasis en voz para adultos mayores</t>
  </si>
  <si>
    <t>Tamaño de fuente ≥ 16pt en toda la interfaz</t>
  </si>
  <si>
    <t>Alto contraste texto / fondo</t>
  </si>
  <si>
    <t>Botones grandes y bien espaciados</t>
  </si>
  <si>
    <t>Flujos simples (máx. 3 pasos por tarea)</t>
  </si>
  <si>
    <t>Íconos con etiqueta de texto descriptiva</t>
  </si>
  <si>
    <t>Modo de accesibilidad o ajuste de tamaño</t>
  </si>
  <si>
    <t>Pantalla de inicio con resumen simple del día</t>
  </si>
  <si>
    <t>Dimensión 3: Planificación y Recordatorios para múltiples medicamentos</t>
  </si>
  <si>
    <t>Registro de múltiples tratamientos por paciente</t>
  </si>
  <si>
    <t>Recordatorios individuales por medicamento</t>
  </si>
  <si>
    <t>Vista de horario diario consolidado</t>
  </si>
  <si>
    <t>Confirmación de toma y registro histórico</t>
  </si>
  <si>
    <t>Reportes de adherencia exportables (PDF)</t>
  </si>
  <si>
    <t>Registro de síntomas y efectos adversos</t>
  </si>
  <si>
    <t>Alertas diferenciadas por tipo de medicamento</t>
  </si>
  <si>
    <t>Dimensión 4: Inventario — enfoque en múltiples medicamentos crónicos</t>
  </si>
  <si>
    <t>Registro de existencias para múltiples medicamentos</t>
  </si>
  <si>
    <t>Alertas de stock crítico individualizadas</t>
  </si>
  <si>
    <t>Recordatorio de reclamación o compra en farmacia</t>
  </si>
  <si>
    <t>Integración con catálogo oficial (CUM/INVIMA)</t>
  </si>
  <si>
    <t>Seguimiento de fechas de vencimiento</t>
  </si>
  <si>
    <t>Soporte para cuidador que gestiona varios pacientes</t>
  </si>
  <si>
    <t>Totales max 30</t>
  </si>
  <si>
    <t>Observaciones generales por aplicación</t>
  </si>
  <si>
    <t>¿Es accesible para adultos mayores?</t>
  </si>
  <si>
    <t>¿Soporta múltiples medicamentos crónicos?</t>
  </si>
  <si>
    <t>¿Tiene interacción por voz?</t>
  </si>
  <si>
    <t>Fortalezas clave</t>
  </si>
  <si>
    <t>Limitaciones clave</t>
  </si>
  <si>
    <t>Pill Reminder - Sergio Licea App</t>
  </si>
  <si>
    <t>si</t>
  </si>
  <si>
    <t>no</t>
  </si>
  <si>
    <t>Simple y facil de usar, visualmente atractivo</t>
  </si>
  <si>
    <t>sin voz, curva inicial de aprendizaje compleja</t>
  </si>
  <si>
    <t>completa</t>
  </si>
  <si>
    <t>compleja</t>
  </si>
  <si>
    <t>no mucho,</t>
  </si>
  <si>
    <t>parcial</t>
  </si>
  <si>
    <t>simple</t>
  </si>
  <si>
    <t>basica</t>
  </si>
  <si>
    <t>¿Es accesible para adultos?</t>
  </si>
  <si>
    <t>SI</t>
  </si>
  <si>
    <t>NO</t>
  </si>
  <si>
    <t>BALANCEADA</t>
  </si>
  <si>
    <t>MENOS ANALITICA</t>
  </si>
  <si>
    <t>COMPLETA</t>
  </si>
  <si>
    <t>COMPLEJA</t>
  </si>
  <si>
    <t>PARCIAL</t>
  </si>
  <si>
    <t>SIMPLE</t>
  </si>
  <si>
    <t>LIMITADA</t>
  </si>
  <si>
    <t>Dimensión 1: Accesibilidad Multimodal — Énfasis en voz para adultos</t>
  </si>
  <si>
    <t>Dimensión 1: Accesibilidad Multimodal — Énfasis en voz para jovenes</t>
  </si>
  <si>
    <t>Dimensión 2: Interfaz moderna</t>
  </si>
  <si>
    <t>Dimensión 2: Interfaz para Adultos</t>
  </si>
  <si>
    <t>INTUITIVA</t>
  </si>
  <si>
    <t>MUCHAS OPCIONES</t>
  </si>
  <si>
    <t>MUY PESADA</t>
  </si>
  <si>
    <t>SI PARCIAL</t>
  </si>
  <si>
    <t>BASICA</t>
  </si>
  <si>
    <t>SIN FUNCIONES AVANZADAS</t>
  </si>
  <si>
    <t xml:space="preserve">0 = No existe  </t>
  </si>
  <si>
    <t>1 = Deficiente</t>
  </si>
  <si>
    <t>2 = Básico</t>
  </si>
  <si>
    <t>3 = Adecuado</t>
  </si>
  <si>
    <t>4 = Bueno</t>
  </si>
  <si>
    <t>5 = Excelente</t>
  </si>
  <si>
    <t>Tamaño de fuente entendible en toda la interfaz</t>
  </si>
  <si>
    <t>Alto contraste texto / fondo / modo nocturno</t>
  </si>
  <si>
    <t>¿Es accesible intuitiva?</t>
  </si>
  <si>
    <t>Glaucoma, presion arteria, colesterol y triglic altos</t>
  </si>
  <si>
    <t>Prefiero interfaces simples y con pocos objetos en pantalla</t>
  </si>
  <si>
    <t>Accesibilidad visual (tamaño, fuente)</t>
  </si>
  <si>
    <t>Diana Patricia Gonzales</t>
  </si>
  <si>
    <t>Luis Jesus Gomez Escobar</t>
  </si>
  <si>
    <t>Infarto, Problemas cardiacos</t>
  </si>
  <si>
    <t>App Como herramienta de apoyo</t>
  </si>
  <si>
    <t>Seguimiento y supervision del paciente</t>
  </si>
  <si>
    <t>Reportes y Alertas</t>
  </si>
  <si>
    <t>Ítem
21</t>
  </si>
  <si>
    <t>Ítem
22</t>
  </si>
  <si>
    <t>Ítem
23</t>
  </si>
  <si>
    <t>Ítem
24</t>
  </si>
  <si>
    <t>Ítem
25</t>
  </si>
  <si>
    <t>Necesidades de accesibilidad</t>
  </si>
  <si>
    <t>Me sería útil recibir un resumen diario o semanal del cumplimiento del tratamiento del paciente.</t>
  </si>
  <si>
    <t>Me sería útil ver el inventario de medicamentos disponible en el hogar del paciente.</t>
  </si>
  <si>
    <t>Necesito recibir una alerta inmediata si el paciente no toma un medicamento crítico a tiempo.</t>
  </si>
  <si>
    <t>Me sería útil recibir alertas cuando el stock de medicamento del paciente esté por agotarse.</t>
  </si>
  <si>
    <t>Necesito que los reportes generados por la app incluyan síntomas, dosis y horarios en un solo documento.</t>
  </si>
  <si>
    <t>Me sería útil recibir alertas si el paciente registra síntomas que requieren atención prioritaria.</t>
  </si>
  <si>
    <t>Los pacientes que atiendo tienen dificultades para leer letras pequeñas en el celular.</t>
  </si>
  <si>
    <t>Los pacientes que atiendo tienen dificultades para navegar aplicaciones con muchas opciones.</t>
  </si>
  <si>
    <t>Sería importante que la app funcione con comandos de voz para los pacientes que atiendo.</t>
  </si>
  <si>
    <t>Los pacientes que atiendo necesitan pantallas simples con botones grandes y contraste alto.</t>
  </si>
  <si>
    <t>Usaría la app para tomar acciones o coordinar con otros profesionales o familiares involucrados en el cuidado?</t>
  </si>
  <si>
    <t>Considero que los pacientes que atiendo serían capaces de usar una aplicación medica de forma autónoma</t>
  </si>
  <si>
    <t>Una app de recordatorios reduciría errores en la administración de medicamentos en el hogar</t>
  </si>
  <si>
    <t>Considero que una aplicación móvil podría apoyar eficazmente el seguimiento del tratamiento del paciente(s) que tengo a cargo?</t>
  </si>
  <si>
    <t>Estaría dispuesto/a a recibir notificaciones o alertas sobre el estado de medicación del paciente?</t>
  </si>
  <si>
    <t>Me sería útil poder ver si el paciente confirmó o no la toma de un medicamento?</t>
  </si>
  <si>
    <t>Me sería útil poder ver si el paciente confirmó o no la toma de un medicamento? 2</t>
  </si>
  <si>
    <t>Confiaría en los datos registrados por el paciente para tomar decisiones de cuidado?</t>
  </si>
  <si>
    <t>Necesito acceder al historial de tomas y síntomas del paciente desde mi propio dispositivo</t>
  </si>
  <si>
    <t>Es importante poder visualizar cuándo fue la última toma registrada de cada medicamento por el paciente.</t>
  </si>
  <si>
    <t>Necesito que la app me permita distinguir entre pacientes que siguen bien el tratamiento y los que no</t>
  </si>
  <si>
    <t>Me gustaría poder agregar observaciones clínicas o notas al perfil del paciente desde la app</t>
  </si>
  <si>
    <t>Me gustaría poder exportar o compartir el reporte del paciente directamente al correo del médico tratante.</t>
  </si>
  <si>
    <t>El formato del reporte debe ser claro, completo y legible para ser usado en una consulta médica.</t>
  </si>
  <si>
    <t>Los pacientes que atiendo necesitan recibir instrucciones en voz alta en lugar de texto.</t>
  </si>
  <si>
    <t>Ítem
26</t>
  </si>
  <si>
    <t>Auxiliar de enfermeria</t>
  </si>
  <si>
    <t xml:space="preserve">Enfermero </t>
  </si>
  <si>
    <t>Enfermera</t>
  </si>
  <si>
    <t>Estudiante</t>
  </si>
  <si>
    <t xml:space="preserve">Harold nicolas duran pedraza </t>
  </si>
  <si>
    <t>Erick Serrano</t>
  </si>
  <si>
    <t xml:space="preserve">Paula Lizeth Bermudez Ardila </t>
  </si>
  <si>
    <t>Ángela Camila Castellanos Arenales</t>
  </si>
  <si>
    <t>Lizeth Natalia Quiroga Pico</t>
  </si>
  <si>
    <t>Perfil 4
Cuidadores</t>
  </si>
  <si>
    <t>Media P4
(Cuidadores)</t>
  </si>
  <si>
    <t>Los pacientes que atiendo necesitan información adicional para aprender a utilizar aplicaciones móviles.</t>
  </si>
  <si>
    <t>Me cuesta aprender a usar aplicaciones nuevas en el celular.</t>
  </si>
  <si>
    <t xml:space="preserve">Alertas en tiempo real de seguimiento </t>
  </si>
  <si>
    <t>Historial de notas por parte de cuidadores</t>
  </si>
  <si>
    <t>Viabilidad de aplicación</t>
  </si>
  <si>
    <t>perfilacion de pacientes según tomas</t>
  </si>
  <si>
    <t>SECCIÓN E — SOLO CUIDADORES- Viabilidad</t>
  </si>
  <si>
    <t>-</t>
  </si>
  <si>
    <t>Prefiero usar comandos de voz antes que texto en apps móviles.</t>
  </si>
  <si>
    <t xml:space="preserve">Edad variable | Cuidadores medicos </t>
  </si>
  <si>
    <t>Paula Viviana samaca cañas</t>
  </si>
  <si>
    <t>Ronald</t>
  </si>
  <si>
    <t>Darly Julio</t>
  </si>
  <si>
    <t>Erika Melissa Villamizar Sierra</t>
  </si>
  <si>
    <t>Yeimy Jiménez</t>
  </si>
  <si>
    <t>Erika Dayana Mendez</t>
  </si>
  <si>
    <t>Nathalia Caicedo Blanco</t>
  </si>
  <si>
    <t>Ledi pedraza</t>
  </si>
  <si>
    <t>enfermera</t>
  </si>
  <si>
    <t>Enfermero</t>
  </si>
  <si>
    <t>Auxiliar</t>
  </si>
  <si>
    <t>Auxiliar de enfermería</t>
  </si>
  <si>
    <t>Enfermera profesional</t>
  </si>
  <si>
    <t>estudiante y cuidadora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</si>
</sst>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b/>
      <sz val="9"/>
      <color rgb="FFFFFFFF"/>
      <name val="Arial"/>
      <charset val="1"/>
    </font>
    <font>
      <sz val="11"/>
      <color rgb="FF000000"/>
      <name val="Arial"/>
      <charset val="1"/>
    </font>
    <font>
      <sz val="8"/>
      <color rgb="FF000000"/>
      <name val="Arial"/>
      <charset val="1"/>
    </font>
    <font>
      <i/>
      <sz val="8"/>
      <color rgb="FF555555"/>
      <name val="Arial"/>
      <charset val="1"/>
    </font>
    <font>
      <sz val="9"/>
      <color rgb="FF888888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i/>
      <sz val="9"/>
      <color rgb="FF7D6608"/>
      <name val="Arial"/>
      <charset val="1"/>
    </font>
    <font>
      <sz val="11"/>
      <color rgb="FF000000"/>
      <name val="Arial"/>
      <family val="2"/>
    </font>
    <font>
      <b/>
      <sz val="9"/>
      <color rgb="FFFFFFFF"/>
      <name val="Arial"/>
      <family val="2"/>
    </font>
    <font>
      <b/>
      <sz val="13"/>
      <color rgb="FF2E75B6"/>
      <name val="Arial"/>
      <family val="2"/>
    </font>
    <font>
      <b/>
      <sz val="11"/>
      <color theme="1"/>
      <name val="Arial"/>
      <family val="2"/>
    </font>
    <font>
      <b/>
      <sz val="16"/>
      <color rgb="FF2E75B6"/>
      <name val="Arial"/>
      <family val="2"/>
    </font>
    <font>
      <sz val="8"/>
      <name val="Calibri"/>
      <family val="2"/>
      <charset val="1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8DAE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8F8F5"/>
      </patternFill>
    </fill>
    <fill>
      <patternFill patternType="solid">
        <fgColor rgb="FFFFF9C4"/>
        <bgColor rgb="FFFAE5D3"/>
      </patternFill>
    </fill>
    <fill>
      <patternFill patternType="solid">
        <fgColor rgb="FF1A5276"/>
        <bgColor rgb="FF1F4E79"/>
      </patternFill>
    </fill>
    <fill>
      <patternFill patternType="solid">
        <fgColor rgb="FF1E6B2E"/>
        <bgColor rgb="FF145A32"/>
      </patternFill>
    </fill>
    <fill>
      <patternFill patternType="solid">
        <fgColor rgb="FFD5F5E3"/>
        <bgColor rgb="FFE8F8F5"/>
      </patternFill>
    </fill>
    <fill>
      <patternFill patternType="solid">
        <fgColor rgb="FF7D3C0F"/>
        <bgColor rgb="FF7D6608"/>
      </patternFill>
    </fill>
    <fill>
      <patternFill patternType="solid">
        <fgColor rgb="FFFAE5D3"/>
        <bgColor rgb="FFFFE0B2"/>
      </patternFill>
    </fill>
    <fill>
      <patternFill patternType="solid">
        <fgColor rgb="FF6C3483"/>
        <bgColor rgb="FF993366"/>
      </patternFill>
    </fill>
    <fill>
      <patternFill patternType="solid">
        <fgColor rgb="FFE8DAEF"/>
        <bgColor rgb="FFD6E4F0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AE5D3"/>
      </patternFill>
    </fill>
    <fill>
      <patternFill patternType="solid">
        <fgColor rgb="FFAED6F1"/>
        <bgColor rgb="FFA9DFBF"/>
      </patternFill>
    </fill>
    <fill>
      <patternFill patternType="solid">
        <fgColor rgb="FFD0D0D0"/>
        <bgColor rgb="FFE8DAEF"/>
      </patternFill>
    </fill>
    <fill>
      <patternFill patternType="solid">
        <fgColor rgb="FF2E4057"/>
        <bgColor rgb="FF1F4E79"/>
      </patternFill>
    </fill>
    <fill>
      <patternFill patternType="solid">
        <fgColor rgb="FF145A32"/>
        <bgColor rgb="FF1E6B2E"/>
      </patternFill>
    </fill>
    <fill>
      <patternFill patternType="solid">
        <fgColor rgb="FF7D6608"/>
        <bgColor rgb="FF7D3C0F"/>
      </patternFill>
    </fill>
    <fill>
      <patternFill patternType="solid">
        <fgColor rgb="FFA9DFBF"/>
        <bgColor rgb="FFAED6F1"/>
      </patternFill>
    </fill>
    <fill>
      <patternFill patternType="solid">
        <fgColor rgb="FFF0B27A"/>
        <bgColor rgb="FFFFCDD2"/>
      </patternFill>
    </fill>
    <fill>
      <patternFill patternType="solid">
        <fgColor rgb="FFC39BD3"/>
        <bgColor rgb="FFAAAAAA"/>
      </patternFill>
    </fill>
    <fill>
      <patternFill patternType="solid">
        <fgColor rgb="FF4A235A"/>
        <bgColor rgb="FF6C3483"/>
      </patternFill>
    </fill>
    <fill>
      <patternFill patternType="solid">
        <fgColor rgb="FFE8F8F5"/>
        <bgColor rgb="FFF2F2F2"/>
      </patternFill>
    </fill>
    <fill>
      <patternFill patternType="solid">
        <fgColor rgb="FFFFD700"/>
        <bgColor rgb="FFFFFF00"/>
      </patternFill>
    </fill>
    <fill>
      <patternFill patternType="solid">
        <fgColor rgb="FFFFFF00"/>
        <bgColor rgb="FFD6E4F0"/>
      </patternFill>
    </fill>
  </fills>
  <borders count="19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indexed="64"/>
      </bottom>
      <diagonal/>
    </border>
    <border>
      <left/>
      <right/>
      <top style="thin">
        <color rgb="FFAAAAAA"/>
      </top>
      <bottom style="thin">
        <color indexed="64"/>
      </bottom>
      <diagonal/>
    </border>
    <border>
      <left/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top" wrapText="1"/>
    </xf>
    <xf numFmtId="0" fontId="10" fillId="18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2" fontId="6" fillId="4" borderId="2" xfId="0" applyNumberFormat="1" applyFont="1" applyFill="1" applyBorder="1" applyAlignment="1">
      <alignment horizontal="center" vertical="center" wrapText="1"/>
    </xf>
    <xf numFmtId="2" fontId="3" fillId="17" borderId="2" xfId="0" applyNumberFormat="1" applyFont="1" applyFill="1" applyBorder="1" applyAlignment="1">
      <alignment horizontal="center" vertical="center" wrapText="1"/>
    </xf>
    <xf numFmtId="2" fontId="13" fillId="6" borderId="2" xfId="0" applyNumberFormat="1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9" fontId="13" fillId="4" borderId="2" xfId="0" applyNumberFormat="1" applyFont="1" applyFill="1" applyBorder="1" applyAlignment="1">
      <alignment horizontal="center" vertical="center" wrapText="1"/>
    </xf>
    <xf numFmtId="9" fontId="3" fillId="17" borderId="2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top" wrapText="1"/>
    </xf>
    <xf numFmtId="0" fontId="3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2" fontId="6" fillId="10" borderId="2" xfId="0" applyNumberFormat="1" applyFont="1" applyFill="1" applyBorder="1" applyAlignment="1">
      <alignment horizontal="center" vertical="center" wrapText="1"/>
    </xf>
    <xf numFmtId="2" fontId="3" fillId="22" borderId="2" xfId="0" applyNumberFormat="1" applyFont="1" applyFill="1" applyBorder="1" applyAlignment="1">
      <alignment horizontal="center" vertical="center" wrapText="1"/>
    </xf>
    <xf numFmtId="2" fontId="13" fillId="10" borderId="2" xfId="0" applyNumberFormat="1" applyFont="1" applyFill="1" applyBorder="1" applyAlignment="1">
      <alignment horizontal="center" vertical="center" wrapText="1"/>
    </xf>
    <xf numFmtId="9" fontId="13" fillId="10" borderId="2" xfId="0" applyNumberFormat="1" applyFont="1" applyFill="1" applyBorder="1" applyAlignment="1">
      <alignment horizontal="center" vertical="center" wrapText="1"/>
    </xf>
    <xf numFmtId="9" fontId="3" fillId="22" borderId="2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top" wrapText="1"/>
    </xf>
    <xf numFmtId="0" fontId="3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2" fontId="6" fillId="12" borderId="2" xfId="0" applyNumberFormat="1" applyFont="1" applyFill="1" applyBorder="1" applyAlignment="1">
      <alignment horizontal="center" vertical="center" wrapText="1"/>
    </xf>
    <xf numFmtId="2" fontId="3" fillId="23" borderId="2" xfId="0" applyNumberFormat="1" applyFont="1" applyFill="1" applyBorder="1" applyAlignment="1">
      <alignment horizontal="center" vertical="center" wrapText="1"/>
    </xf>
    <xf numFmtId="2" fontId="13" fillId="12" borderId="2" xfId="0" applyNumberFormat="1" applyFont="1" applyFill="1" applyBorder="1" applyAlignment="1">
      <alignment horizontal="center" vertical="center" wrapText="1"/>
    </xf>
    <xf numFmtId="9" fontId="13" fillId="12" borderId="2" xfId="0" applyNumberFormat="1" applyFont="1" applyFill="1" applyBorder="1" applyAlignment="1">
      <alignment horizontal="center" vertical="center" wrapText="1"/>
    </xf>
    <xf numFmtId="9" fontId="3" fillId="23" borderId="2" xfId="0" applyNumberFormat="1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2" fontId="6" fillId="14" borderId="2" xfId="0" applyNumberFormat="1" applyFont="1" applyFill="1" applyBorder="1" applyAlignment="1">
      <alignment horizontal="center" vertical="center" wrapText="1"/>
    </xf>
    <xf numFmtId="2" fontId="3" fillId="24" borderId="2" xfId="0" applyNumberFormat="1" applyFont="1" applyFill="1" applyBorder="1" applyAlignment="1">
      <alignment horizontal="center" vertical="center" wrapText="1"/>
    </xf>
    <xf numFmtId="2" fontId="13" fillId="14" borderId="2" xfId="0" applyNumberFormat="1" applyFont="1" applyFill="1" applyBorder="1" applyAlignment="1">
      <alignment horizontal="center" vertical="center" wrapText="1"/>
    </xf>
    <xf numFmtId="9" fontId="13" fillId="14" borderId="2" xfId="0" applyNumberFormat="1" applyFont="1" applyFill="1" applyBorder="1" applyAlignment="1">
      <alignment horizontal="center" vertical="center" wrapText="1"/>
    </xf>
    <xf numFmtId="9" fontId="3" fillId="24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2" fontId="4" fillId="10" borderId="2" xfId="0" applyNumberFormat="1" applyFont="1" applyFill="1" applyBorder="1" applyAlignment="1">
      <alignment horizontal="center" vertical="center" wrapText="1"/>
    </xf>
    <xf numFmtId="2" fontId="4" fillId="12" borderId="2" xfId="0" applyNumberFormat="1" applyFont="1" applyFill="1" applyBorder="1" applyAlignment="1">
      <alignment horizontal="center" vertical="center" wrapText="1"/>
    </xf>
    <xf numFmtId="2" fontId="4" fillId="14" borderId="2" xfId="0" applyNumberFormat="1" applyFont="1" applyFill="1" applyBorder="1" applyAlignment="1">
      <alignment horizontal="center" vertical="center" wrapText="1"/>
    </xf>
    <xf numFmtId="2" fontId="3" fillId="7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left" vertical="center" wrapText="1"/>
    </xf>
    <xf numFmtId="2" fontId="8" fillId="4" borderId="2" xfId="0" applyNumberFormat="1" applyFont="1" applyFill="1" applyBorder="1" applyAlignment="1">
      <alignment horizontal="center" vertical="center" wrapText="1"/>
    </xf>
    <xf numFmtId="2" fontId="8" fillId="10" borderId="2" xfId="0" applyNumberFormat="1" applyFont="1" applyFill="1" applyBorder="1" applyAlignment="1">
      <alignment horizontal="center" vertical="center" wrapText="1"/>
    </xf>
    <xf numFmtId="2" fontId="8" fillId="12" borderId="2" xfId="0" applyNumberFormat="1" applyFont="1" applyFill="1" applyBorder="1" applyAlignment="1">
      <alignment horizontal="center" vertical="center" wrapText="1"/>
    </xf>
    <xf numFmtId="2" fontId="8" fillId="14" borderId="2" xfId="0" applyNumberFormat="1" applyFont="1" applyFill="1" applyBorder="1" applyAlignment="1">
      <alignment horizontal="center" vertical="center" wrapText="1"/>
    </xf>
    <xf numFmtId="2" fontId="3" fillId="16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2" fontId="12" fillId="17" borderId="2" xfId="0" applyNumberFormat="1" applyFont="1" applyFill="1" applyBorder="1" applyAlignment="1">
      <alignment horizontal="center" vertical="center" wrapText="1"/>
    </xf>
    <xf numFmtId="2" fontId="12" fillId="22" borderId="2" xfId="0" applyNumberFormat="1" applyFont="1" applyFill="1" applyBorder="1" applyAlignment="1">
      <alignment horizontal="center" vertical="center" wrapText="1"/>
    </xf>
    <xf numFmtId="2" fontId="12" fillId="23" borderId="2" xfId="0" applyNumberFormat="1" applyFont="1" applyFill="1" applyBorder="1" applyAlignment="1">
      <alignment horizontal="center" vertical="center" wrapText="1"/>
    </xf>
    <xf numFmtId="2" fontId="12" fillId="24" borderId="2" xfId="0" applyNumberFormat="1" applyFont="1" applyFill="1" applyBorder="1" applyAlignment="1">
      <alignment horizontal="center" vertical="center" wrapText="1"/>
    </xf>
    <xf numFmtId="2" fontId="3" fillId="27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2" fontId="12" fillId="7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14" fontId="8" fillId="6" borderId="2" xfId="0" applyNumberFormat="1" applyFont="1" applyFill="1" applyBorder="1" applyAlignment="1">
      <alignment horizontal="center" vertical="center" wrapText="1"/>
    </xf>
    <xf numFmtId="14" fontId="8" fillId="5" borderId="2" xfId="0" applyNumberFormat="1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17" fillId="8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7" fillId="13" borderId="15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left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top" wrapText="1"/>
    </xf>
    <xf numFmtId="0" fontId="22" fillId="5" borderId="2" xfId="0" applyFont="1" applyFill="1" applyBorder="1" applyAlignment="1">
      <alignment horizontal="left" vertical="center" wrapText="1"/>
    </xf>
    <xf numFmtId="2" fontId="26" fillId="28" borderId="2" xfId="0" applyNumberFormat="1" applyFont="1" applyFill="1" applyBorder="1" applyAlignment="1">
      <alignment horizontal="center" vertical="center" wrapText="1"/>
    </xf>
    <xf numFmtId="0" fontId="24" fillId="12" borderId="2" xfId="0" applyFont="1" applyFill="1" applyBorder="1" applyAlignment="1">
      <alignment horizontal="center" vertical="top" wrapText="1"/>
    </xf>
    <xf numFmtId="0" fontId="24" fillId="4" borderId="2" xfId="0" applyFont="1" applyFill="1" applyBorder="1" applyAlignment="1">
      <alignment horizontal="center" vertical="top" wrapText="1"/>
    </xf>
    <xf numFmtId="0" fontId="2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19" borderId="1" xfId="0" applyFont="1" applyFill="1" applyBorder="1" applyAlignment="1">
      <alignment horizontal="right" vertical="center" wrapText="1"/>
    </xf>
    <xf numFmtId="0" fontId="5" fillId="20" borderId="1" xfId="0" applyFont="1" applyFill="1" applyBorder="1" applyAlignment="1">
      <alignment horizontal="right" vertical="center" wrapText="1"/>
    </xf>
    <xf numFmtId="0" fontId="5" fillId="21" borderId="1" xfId="0" applyFont="1" applyFill="1" applyBorder="1" applyAlignment="1">
      <alignment horizontal="righ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6" fillId="24" borderId="4" xfId="0" applyFont="1" applyFill="1" applyBorder="1" applyAlignment="1">
      <alignment horizontal="center" vertical="center" wrapText="1"/>
    </xf>
    <xf numFmtId="0" fontId="23" fillId="24" borderId="4" xfId="0" applyFont="1" applyFill="1" applyBorder="1" applyAlignment="1">
      <alignment horizontal="center" vertical="center" wrapText="1"/>
    </xf>
    <xf numFmtId="0" fontId="6" fillId="24" borderId="16" xfId="0" applyFont="1" applyFill="1" applyBorder="1" applyAlignment="1">
      <alignment horizontal="center" vertical="center" wrapText="1"/>
    </xf>
    <xf numFmtId="0" fontId="6" fillId="24" borderId="17" xfId="0" applyFont="1" applyFill="1" applyBorder="1" applyAlignment="1">
      <alignment horizontal="center" vertical="center" wrapText="1"/>
    </xf>
    <xf numFmtId="0" fontId="6" fillId="24" borderId="18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8" borderId="9" xfId="0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1E6B2E"/>
      <rgbColor rgb="FF000080"/>
      <rgbColor rgb="FF7D6608"/>
      <rgbColor rgb="FF800080"/>
      <rgbColor rgb="FF008080"/>
      <rgbColor rgb="FFA9DFBF"/>
      <rgbColor rgb="FF888888"/>
      <rgbColor rgb="FFE8DAEF"/>
      <rgbColor rgb="FF6C3483"/>
      <rgbColor rgb="FFFFF9C4"/>
      <rgbColor rgb="FFE8F8F5"/>
      <rgbColor rgb="FF4A235A"/>
      <rgbColor rgb="FFFFCDD2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AE5D3"/>
      <rgbColor rgb="FFAED6F1"/>
      <rgbColor rgb="FFF0B27A"/>
      <rgbColor rgb="FFC39BD3"/>
      <rgbColor rgb="FFFFE0B2"/>
      <rgbColor rgb="FF2E75B6"/>
      <rgbColor rgb="FF33CCCC"/>
      <rgbColor rgb="FF99CC00"/>
      <rgbColor rgb="FFFFD700"/>
      <rgbColor rgb="FFFF9900"/>
      <rgbColor rgb="FFFF6600"/>
      <rgbColor rgb="FF555555"/>
      <rgbColor rgb="FFAAAAAA"/>
      <rgbColor rgb="FF1A5276"/>
      <rgbColor rgb="FF339966"/>
      <rgbColor rgb="FF145A32"/>
      <rgbColor rgb="FF333300"/>
      <rgbColor rgb="FF7D3C0F"/>
      <rgbColor rgb="FF993366"/>
      <rgbColor rgb="FF1F4E7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7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59"/>
  <sheetViews>
    <sheetView topLeftCell="A2" zoomScaleNormal="100" workbookViewId="0">
      <selection activeCell="C25" sqref="C25"/>
    </sheetView>
  </sheetViews>
  <sheetFormatPr baseColWidth="10" defaultColWidth="8.7109375" defaultRowHeight="15" x14ac:dyDescent="0.25"/>
  <cols>
    <col min="1" max="1" width="3" customWidth="1"/>
    <col min="2" max="2" width="28" customWidth="1"/>
    <col min="3" max="3" width="83.85546875" customWidth="1"/>
    <col min="4" max="4" width="3" customWidth="1"/>
  </cols>
  <sheetData>
    <row r="1" spans="2:3" ht="18" customHeight="1" x14ac:dyDescent="0.25"/>
    <row r="2" spans="2:3" ht="30" customHeight="1" x14ac:dyDescent="0.25">
      <c r="B2" s="105" t="s">
        <v>0</v>
      </c>
      <c r="C2" s="105"/>
    </row>
    <row r="3" spans="2:3" ht="30" customHeight="1" x14ac:dyDescent="0.25">
      <c r="B3" s="107" t="s">
        <v>1</v>
      </c>
      <c r="C3" s="107"/>
    </row>
    <row r="4" spans="2:3" ht="7.5" customHeight="1" x14ac:dyDescent="0.25"/>
    <row r="5" spans="2:3" ht="21.75" customHeight="1" x14ac:dyDescent="0.25">
      <c r="B5" s="106" t="s">
        <v>2</v>
      </c>
      <c r="C5" s="106"/>
    </row>
    <row r="6" spans="2:3" ht="18" customHeight="1" x14ac:dyDescent="0.25">
      <c r="B6" s="1" t="s">
        <v>3</v>
      </c>
      <c r="C6" s="2" t="s">
        <v>4</v>
      </c>
    </row>
    <row r="7" spans="2:3" ht="18" customHeight="1" x14ac:dyDescent="0.25">
      <c r="B7" s="1" t="s">
        <v>5</v>
      </c>
      <c r="C7" s="3" t="s">
        <v>6</v>
      </c>
    </row>
    <row r="8" spans="2:3" ht="18" customHeight="1" x14ac:dyDescent="0.25">
      <c r="B8" s="1" t="s">
        <v>7</v>
      </c>
      <c r="C8" s="2" t="s">
        <v>8</v>
      </c>
    </row>
    <row r="9" spans="2:3" ht="18" customHeight="1" x14ac:dyDescent="0.25">
      <c r="B9" s="1" t="s">
        <v>9</v>
      </c>
      <c r="C9" s="3" t="s">
        <v>10</v>
      </c>
    </row>
    <row r="10" spans="2:3" ht="18" customHeight="1" x14ac:dyDescent="0.25">
      <c r="B10" s="1" t="s">
        <v>11</v>
      </c>
      <c r="C10" s="2" t="s">
        <v>12</v>
      </c>
    </row>
    <row r="11" spans="2:3" ht="18" customHeight="1" x14ac:dyDescent="0.25">
      <c r="B11" s="1" t="s">
        <v>13</v>
      </c>
      <c r="C11" s="3" t="s">
        <v>14</v>
      </c>
    </row>
    <row r="12" spans="2:3" ht="7.5" customHeight="1" x14ac:dyDescent="0.25"/>
    <row r="13" spans="2:3" ht="21.75" customHeight="1" x14ac:dyDescent="0.25">
      <c r="B13" s="106" t="s">
        <v>15</v>
      </c>
      <c r="C13" s="106"/>
    </row>
    <row r="14" spans="2:3" ht="18" customHeight="1" x14ac:dyDescent="0.25">
      <c r="B14" s="1" t="s">
        <v>16</v>
      </c>
      <c r="C14" s="2" t="s">
        <v>17</v>
      </c>
    </row>
    <row r="15" spans="2:3" ht="18" customHeight="1" x14ac:dyDescent="0.25">
      <c r="B15" s="1" t="s">
        <v>18</v>
      </c>
      <c r="C15" s="3" t="s">
        <v>19</v>
      </c>
    </row>
    <row r="16" spans="2:3" ht="18" customHeight="1" x14ac:dyDescent="0.25">
      <c r="B16" s="1" t="s">
        <v>20</v>
      </c>
      <c r="C16" s="2" t="s">
        <v>21</v>
      </c>
    </row>
    <row r="17" spans="2:3" ht="18" customHeight="1" x14ac:dyDescent="0.25">
      <c r="B17" s="1" t="s">
        <v>22</v>
      </c>
      <c r="C17" s="4" t="s">
        <v>23</v>
      </c>
    </row>
    <row r="18" spans="2:3" ht="18" customHeight="1" x14ac:dyDescent="0.25">
      <c r="B18" s="1" t="s">
        <v>24</v>
      </c>
      <c r="C18" s="3" t="s">
        <v>25</v>
      </c>
    </row>
    <row r="19" spans="2:3" ht="7.5" customHeight="1" x14ac:dyDescent="0.25"/>
    <row r="20" spans="2:3" ht="21.75" customHeight="1" x14ac:dyDescent="0.25">
      <c r="B20" s="106" t="s">
        <v>26</v>
      </c>
      <c r="C20" s="106"/>
    </row>
    <row r="21" spans="2:3" ht="19.5" customHeight="1" x14ac:dyDescent="0.25">
      <c r="B21" s="5" t="s">
        <v>27</v>
      </c>
      <c r="C21" s="6" t="s">
        <v>28</v>
      </c>
    </row>
    <row r="22" spans="2:3" ht="19.5" customHeight="1" x14ac:dyDescent="0.25">
      <c r="B22" s="7" t="s">
        <v>29</v>
      </c>
      <c r="C22" s="8" t="s">
        <v>30</v>
      </c>
    </row>
    <row r="23" spans="2:3" ht="19.5" customHeight="1" x14ac:dyDescent="0.25">
      <c r="B23" s="9" t="s">
        <v>31</v>
      </c>
      <c r="C23" s="10" t="s">
        <v>32</v>
      </c>
    </row>
    <row r="24" spans="2:3" ht="19.5" customHeight="1" x14ac:dyDescent="0.25">
      <c r="B24" s="11" t="s">
        <v>33</v>
      </c>
      <c r="C24" s="12" t="s">
        <v>415</v>
      </c>
    </row>
    <row r="25" spans="2:3" ht="7.5" customHeight="1" x14ac:dyDescent="0.25"/>
    <row r="26" spans="2:3" ht="21.75" customHeight="1" x14ac:dyDescent="0.25">
      <c r="B26" s="106" t="s">
        <v>34</v>
      </c>
      <c r="C26" s="106"/>
    </row>
    <row r="27" spans="2:3" ht="18" customHeight="1" x14ac:dyDescent="0.25">
      <c r="B27" s="1" t="s">
        <v>35</v>
      </c>
      <c r="C27" s="13" t="s">
        <v>36</v>
      </c>
    </row>
    <row r="28" spans="2:3" ht="18" customHeight="1" x14ac:dyDescent="0.25">
      <c r="B28" s="1" t="s">
        <v>37</v>
      </c>
      <c r="C28" s="3" t="s">
        <v>38</v>
      </c>
    </row>
    <row r="29" spans="2:3" ht="18" customHeight="1" x14ac:dyDescent="0.25">
      <c r="B29" s="1" t="s">
        <v>39</v>
      </c>
      <c r="C29" s="13" t="s">
        <v>40</v>
      </c>
    </row>
    <row r="30" spans="2:3" ht="18" customHeight="1" x14ac:dyDescent="0.25">
      <c r="B30" s="1" t="s">
        <v>41</v>
      </c>
      <c r="C30" s="3" t="s">
        <v>42</v>
      </c>
    </row>
    <row r="31" spans="2:3" ht="18" customHeight="1" x14ac:dyDescent="0.25">
      <c r="B31" s="1" t="s">
        <v>43</v>
      </c>
      <c r="C31" s="14" t="s">
        <v>44</v>
      </c>
    </row>
    <row r="32" spans="2:3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</sheetData>
  <mergeCells count="6">
    <mergeCell ref="B26:C26"/>
    <mergeCell ref="B2:C2"/>
    <mergeCell ref="B3:C3"/>
    <mergeCell ref="B5:C5"/>
    <mergeCell ref="B13:C13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32"/>
  <sheetViews>
    <sheetView zoomScaleNormal="100" workbookViewId="0">
      <pane xSplit="7" ySplit="5" topLeftCell="L6" activePane="bottomRight" state="frozen"/>
      <selection pane="topRight" activeCell="H1" sqref="H1"/>
      <selection pane="bottomLeft" activeCell="A6" sqref="A6"/>
      <selection pane="bottomRight" activeCell="O7" sqref="O7"/>
    </sheetView>
  </sheetViews>
  <sheetFormatPr baseColWidth="10" defaultColWidth="8.7109375" defaultRowHeight="15" x14ac:dyDescent="0.25"/>
  <cols>
    <col min="1" max="1" width="3" customWidth="1"/>
    <col min="2" max="3" width="12" customWidth="1"/>
    <col min="4" max="4" width="8" customWidth="1"/>
    <col min="5" max="5" width="10" customWidth="1"/>
    <col min="6" max="6" width="29.42578125" bestFit="1" customWidth="1"/>
    <col min="7" max="7" width="40.140625" bestFit="1" customWidth="1"/>
    <col min="8" max="27" width="6" customWidth="1"/>
    <col min="28" max="29" width="9" customWidth="1"/>
    <col min="30" max="30" width="7" customWidth="1"/>
  </cols>
  <sheetData>
    <row r="1" spans="2:30" ht="9.75" customHeight="1" x14ac:dyDescent="0.25"/>
    <row r="2" spans="2:30" ht="36" customHeight="1" x14ac:dyDescent="0.25">
      <c r="B2" s="112" t="s">
        <v>45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</row>
    <row r="3" spans="2:30" ht="21.75" customHeight="1" x14ac:dyDescent="0.25">
      <c r="H3" s="114" t="s">
        <v>46</v>
      </c>
      <c r="I3" s="114"/>
      <c r="J3" s="114"/>
      <c r="K3" s="114"/>
      <c r="L3" s="114"/>
      <c r="M3" s="114" t="s">
        <v>47</v>
      </c>
      <c r="N3" s="114"/>
      <c r="O3" s="114"/>
      <c r="P3" s="114"/>
      <c r="Q3" s="114"/>
      <c r="R3" s="114" t="s">
        <v>48</v>
      </c>
      <c r="S3" s="114"/>
      <c r="T3" s="114"/>
      <c r="U3" s="114"/>
      <c r="V3" s="114"/>
      <c r="W3" s="114" t="s">
        <v>49</v>
      </c>
      <c r="X3" s="114"/>
      <c r="Y3" s="114"/>
      <c r="Z3" s="114"/>
      <c r="AA3" s="114"/>
    </row>
    <row r="4" spans="2:30" ht="51.75" customHeight="1" x14ac:dyDescent="0.25">
      <c r="B4" s="15" t="s">
        <v>50</v>
      </c>
      <c r="C4" s="15" t="s">
        <v>51</v>
      </c>
      <c r="D4" s="15" t="s">
        <v>52</v>
      </c>
      <c r="E4" s="15" t="s">
        <v>53</v>
      </c>
      <c r="F4" s="89" t="s">
        <v>250</v>
      </c>
      <c r="G4" s="15" t="s">
        <v>54</v>
      </c>
      <c r="H4" s="15" t="s">
        <v>55</v>
      </c>
      <c r="I4" s="15" t="s">
        <v>56</v>
      </c>
      <c r="J4" s="15" t="s">
        <v>57</v>
      </c>
      <c r="K4" s="15" t="s">
        <v>58</v>
      </c>
      <c r="L4" s="15" t="s">
        <v>59</v>
      </c>
      <c r="M4" s="15" t="s">
        <v>60</v>
      </c>
      <c r="N4" s="15" t="s">
        <v>61</v>
      </c>
      <c r="O4" s="15" t="s">
        <v>62</v>
      </c>
      <c r="P4" s="15" t="s">
        <v>63</v>
      </c>
      <c r="Q4" s="15" t="s">
        <v>64</v>
      </c>
      <c r="R4" s="15" t="s">
        <v>65</v>
      </c>
      <c r="S4" s="15" t="s">
        <v>66</v>
      </c>
      <c r="T4" s="15" t="s">
        <v>67</v>
      </c>
      <c r="U4" s="15" t="s">
        <v>68</v>
      </c>
      <c r="V4" s="15" t="s">
        <v>69</v>
      </c>
      <c r="W4" s="15" t="s">
        <v>70</v>
      </c>
      <c r="X4" s="15" t="s">
        <v>71</v>
      </c>
      <c r="Y4" s="15" t="s">
        <v>72</v>
      </c>
      <c r="Z4" s="15" t="s">
        <v>73</v>
      </c>
      <c r="AA4" s="15" t="s">
        <v>74</v>
      </c>
      <c r="AB4" s="16" t="s">
        <v>75</v>
      </c>
      <c r="AC4" s="16" t="s">
        <v>76</v>
      </c>
      <c r="AD4" s="16" t="s">
        <v>77</v>
      </c>
    </row>
    <row r="5" spans="2:30" ht="79.5" customHeight="1" x14ac:dyDescent="0.25">
      <c r="B5" s="17"/>
      <c r="C5" s="17"/>
      <c r="D5" s="17"/>
      <c r="E5" s="17"/>
      <c r="F5" s="17"/>
      <c r="G5" s="17"/>
      <c r="H5" s="18" t="s">
        <v>78</v>
      </c>
      <c r="I5" s="102" t="s">
        <v>79</v>
      </c>
      <c r="J5" s="102" t="s">
        <v>80</v>
      </c>
      <c r="K5" s="18" t="s">
        <v>81</v>
      </c>
      <c r="L5" s="18" t="s">
        <v>82</v>
      </c>
      <c r="M5" s="102" t="s">
        <v>83</v>
      </c>
      <c r="N5" s="18" t="s">
        <v>84</v>
      </c>
      <c r="O5" s="18" t="s">
        <v>85</v>
      </c>
      <c r="P5" s="18" t="s">
        <v>86</v>
      </c>
      <c r="Q5" s="18" t="s">
        <v>87</v>
      </c>
      <c r="R5" s="18" t="s">
        <v>88</v>
      </c>
      <c r="S5" s="18" t="s">
        <v>89</v>
      </c>
      <c r="T5" s="18" t="s">
        <v>90</v>
      </c>
      <c r="U5" s="18" t="s">
        <v>91</v>
      </c>
      <c r="V5" s="18" t="s">
        <v>92</v>
      </c>
      <c r="W5" s="18" t="s">
        <v>93</v>
      </c>
      <c r="X5" s="18" t="s">
        <v>94</v>
      </c>
      <c r="Y5" s="18" t="s">
        <v>95</v>
      </c>
      <c r="Z5" s="18" t="s">
        <v>96</v>
      </c>
      <c r="AA5" s="18" t="s">
        <v>97</v>
      </c>
      <c r="AB5" s="19" t="s">
        <v>98</v>
      </c>
      <c r="AC5" s="19" t="s">
        <v>98</v>
      </c>
      <c r="AD5" s="19" t="s">
        <v>98</v>
      </c>
    </row>
    <row r="6" spans="2:30" ht="18" customHeight="1" x14ac:dyDescent="0.25">
      <c r="B6" s="20" t="s">
        <v>99</v>
      </c>
      <c r="C6" s="85">
        <v>46003</v>
      </c>
      <c r="D6" s="21">
        <v>68</v>
      </c>
      <c r="E6" s="21" t="s">
        <v>252</v>
      </c>
      <c r="F6" s="21" t="s">
        <v>251</v>
      </c>
      <c r="G6" s="21" t="s">
        <v>256</v>
      </c>
      <c r="H6" s="22">
        <v>5</v>
      </c>
      <c r="I6" s="22">
        <v>5</v>
      </c>
      <c r="J6" s="22">
        <v>1</v>
      </c>
      <c r="K6" s="22">
        <v>3</v>
      </c>
      <c r="L6" s="22">
        <v>5</v>
      </c>
      <c r="M6" s="22">
        <v>3</v>
      </c>
      <c r="N6" s="22">
        <v>4</v>
      </c>
      <c r="O6" s="22">
        <v>5</v>
      </c>
      <c r="P6" s="22">
        <v>5</v>
      </c>
      <c r="Q6" s="22">
        <v>5</v>
      </c>
      <c r="R6" s="22">
        <v>1</v>
      </c>
      <c r="S6" s="22">
        <v>1</v>
      </c>
      <c r="T6" s="22">
        <v>5</v>
      </c>
      <c r="U6" s="22">
        <v>5</v>
      </c>
      <c r="V6" s="22">
        <v>3</v>
      </c>
      <c r="W6" s="22">
        <v>1</v>
      </c>
      <c r="X6" s="22">
        <v>1</v>
      </c>
      <c r="Y6" s="22">
        <v>1</v>
      </c>
      <c r="Z6" s="22">
        <v>1</v>
      </c>
      <c r="AA6" s="22">
        <v>1</v>
      </c>
      <c r="AB6" s="23">
        <f t="shared" ref="AB6:AB25" si="0">IFERROR(AVERAGEIF(H6:AA6,"&gt;=1"),"—")</f>
        <v>3.05</v>
      </c>
      <c r="AC6" s="24">
        <f t="shared" ref="AC6:AC25" si="1">IFERROR(STDEV(H6:AA6),"—")</f>
        <v>1.8488972531299781</v>
      </c>
      <c r="AD6" s="24">
        <f t="shared" ref="AD6:AD25" si="2">COUNTIF(H6:AA6,"&gt;=1")</f>
        <v>20</v>
      </c>
    </row>
    <row r="7" spans="2:30" ht="18" customHeight="1" x14ac:dyDescent="0.25">
      <c r="B7" s="25" t="s">
        <v>100</v>
      </c>
      <c r="C7" s="84">
        <v>46047</v>
      </c>
      <c r="D7" s="26">
        <v>62</v>
      </c>
      <c r="E7" s="26" t="s">
        <v>252</v>
      </c>
      <c r="F7" s="26" t="s">
        <v>253</v>
      </c>
      <c r="G7" s="26" t="s">
        <v>255</v>
      </c>
      <c r="H7" s="22">
        <v>2</v>
      </c>
      <c r="I7" s="22">
        <v>5</v>
      </c>
      <c r="J7" s="22">
        <v>4</v>
      </c>
      <c r="K7" s="22">
        <v>4</v>
      </c>
      <c r="L7" s="22">
        <v>5</v>
      </c>
      <c r="M7" s="22">
        <v>4</v>
      </c>
      <c r="N7" s="22">
        <v>4</v>
      </c>
      <c r="O7" s="22">
        <v>4</v>
      </c>
      <c r="P7" s="22">
        <v>4</v>
      </c>
      <c r="Q7" s="22">
        <v>5</v>
      </c>
      <c r="R7" s="22">
        <v>1</v>
      </c>
      <c r="S7" s="22">
        <v>1</v>
      </c>
      <c r="T7" s="22">
        <v>4</v>
      </c>
      <c r="U7" s="22">
        <v>1</v>
      </c>
      <c r="V7" s="22">
        <v>4</v>
      </c>
      <c r="W7" s="22">
        <v>1</v>
      </c>
      <c r="X7" s="22">
        <v>5</v>
      </c>
      <c r="Y7" s="22">
        <v>5</v>
      </c>
      <c r="Z7" s="22">
        <v>4</v>
      </c>
      <c r="AA7" s="22">
        <v>1</v>
      </c>
      <c r="AB7" s="23">
        <f t="shared" si="0"/>
        <v>3.4</v>
      </c>
      <c r="AC7" s="24">
        <f t="shared" si="1"/>
        <v>1.569445091341791</v>
      </c>
      <c r="AD7" s="24">
        <f t="shared" si="2"/>
        <v>20</v>
      </c>
    </row>
    <row r="8" spans="2:30" ht="18" customHeight="1" x14ac:dyDescent="0.25">
      <c r="B8" s="20" t="s">
        <v>101</v>
      </c>
      <c r="C8" s="85">
        <v>46293</v>
      </c>
      <c r="D8" s="21">
        <v>74</v>
      </c>
      <c r="E8" s="21" t="s">
        <v>252</v>
      </c>
      <c r="F8" s="21" t="s">
        <v>254</v>
      </c>
      <c r="G8" s="21" t="s">
        <v>257</v>
      </c>
      <c r="H8" s="22">
        <v>5</v>
      </c>
      <c r="I8" s="22">
        <v>5</v>
      </c>
      <c r="J8" s="22">
        <v>5</v>
      </c>
      <c r="K8" s="22">
        <v>5</v>
      </c>
      <c r="L8" s="22">
        <v>5</v>
      </c>
      <c r="M8" s="22">
        <v>5</v>
      </c>
      <c r="N8" s="22">
        <v>5</v>
      </c>
      <c r="O8" s="22">
        <v>4</v>
      </c>
      <c r="P8" s="22">
        <v>3</v>
      </c>
      <c r="Q8" s="22">
        <v>5</v>
      </c>
      <c r="R8" s="22">
        <v>3</v>
      </c>
      <c r="S8" s="22">
        <v>3</v>
      </c>
      <c r="T8" s="22">
        <v>5</v>
      </c>
      <c r="U8" s="22">
        <v>2</v>
      </c>
      <c r="V8" s="22">
        <v>1</v>
      </c>
      <c r="W8" s="22">
        <v>3</v>
      </c>
      <c r="X8" s="22">
        <v>5</v>
      </c>
      <c r="Y8" s="22">
        <v>3</v>
      </c>
      <c r="Z8" s="22">
        <v>5</v>
      </c>
      <c r="AA8" s="22">
        <v>3</v>
      </c>
      <c r="AB8" s="23">
        <f t="shared" si="0"/>
        <v>4</v>
      </c>
      <c r="AC8" s="24">
        <f t="shared" si="1"/>
        <v>1.2565617248750864</v>
      </c>
      <c r="AD8" s="24">
        <f t="shared" si="2"/>
        <v>20</v>
      </c>
    </row>
    <row r="9" spans="2:30" ht="18" customHeight="1" x14ac:dyDescent="0.25">
      <c r="B9" s="25" t="s">
        <v>102</v>
      </c>
      <c r="C9" s="26"/>
      <c r="D9" s="26"/>
      <c r="E9" s="26"/>
      <c r="F9" s="26"/>
      <c r="G9" s="26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3" t="str">
        <f t="shared" si="0"/>
        <v>—</v>
      </c>
      <c r="AC9" s="24" t="str">
        <f t="shared" si="1"/>
        <v>—</v>
      </c>
      <c r="AD9" s="24">
        <f t="shared" si="2"/>
        <v>0</v>
      </c>
    </row>
    <row r="10" spans="2:30" ht="18" customHeight="1" x14ac:dyDescent="0.25">
      <c r="B10" s="20" t="s">
        <v>103</v>
      </c>
      <c r="C10" s="21"/>
      <c r="D10" s="21"/>
      <c r="E10" s="21"/>
      <c r="F10" s="21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3" t="str">
        <f t="shared" si="0"/>
        <v>—</v>
      </c>
      <c r="AC10" s="24" t="str">
        <f t="shared" si="1"/>
        <v>—</v>
      </c>
      <c r="AD10" s="24">
        <f t="shared" si="2"/>
        <v>0</v>
      </c>
    </row>
    <row r="11" spans="2:30" ht="18" customHeight="1" x14ac:dyDescent="0.25">
      <c r="B11" s="25" t="s">
        <v>104</v>
      </c>
      <c r="C11" s="26"/>
      <c r="D11" s="26"/>
      <c r="E11" s="26"/>
      <c r="F11" s="26"/>
      <c r="G11" s="26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3" t="str">
        <f t="shared" si="0"/>
        <v>—</v>
      </c>
      <c r="AC11" s="24" t="str">
        <f t="shared" si="1"/>
        <v>—</v>
      </c>
      <c r="AD11" s="24">
        <f t="shared" si="2"/>
        <v>0</v>
      </c>
    </row>
    <row r="12" spans="2:30" ht="18" customHeight="1" x14ac:dyDescent="0.25">
      <c r="B12" s="20" t="s">
        <v>105</v>
      </c>
      <c r="C12" s="21"/>
      <c r="D12" s="21"/>
      <c r="E12" s="21"/>
      <c r="F12" s="21"/>
      <c r="G12" s="2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3" t="str">
        <f t="shared" si="0"/>
        <v>—</v>
      </c>
      <c r="AC12" s="24" t="str">
        <f t="shared" si="1"/>
        <v>—</v>
      </c>
      <c r="AD12" s="24">
        <f t="shared" si="2"/>
        <v>0</v>
      </c>
    </row>
    <row r="13" spans="2:30" ht="18" customHeight="1" x14ac:dyDescent="0.25">
      <c r="B13" s="25" t="s">
        <v>106</v>
      </c>
      <c r="C13" s="26"/>
      <c r="D13" s="26"/>
      <c r="E13" s="26"/>
      <c r="F13" s="26"/>
      <c r="G13" s="26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3" t="str">
        <f t="shared" si="0"/>
        <v>—</v>
      </c>
      <c r="AC13" s="24" t="str">
        <f t="shared" si="1"/>
        <v>—</v>
      </c>
      <c r="AD13" s="24">
        <f t="shared" si="2"/>
        <v>0</v>
      </c>
    </row>
    <row r="14" spans="2:30" ht="18" customHeight="1" x14ac:dyDescent="0.25">
      <c r="B14" s="20" t="s">
        <v>107</v>
      </c>
      <c r="C14" s="21"/>
      <c r="D14" s="21"/>
      <c r="E14" s="21"/>
      <c r="F14" s="21"/>
      <c r="G14" s="2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3" t="str">
        <f t="shared" si="0"/>
        <v>—</v>
      </c>
      <c r="AC14" s="24" t="str">
        <f t="shared" si="1"/>
        <v>—</v>
      </c>
      <c r="AD14" s="24">
        <f t="shared" si="2"/>
        <v>0</v>
      </c>
    </row>
    <row r="15" spans="2:30" ht="18" customHeight="1" x14ac:dyDescent="0.25">
      <c r="B15" s="25" t="s">
        <v>108</v>
      </c>
      <c r="C15" s="26"/>
      <c r="D15" s="26"/>
      <c r="E15" s="26"/>
      <c r="F15" s="26"/>
      <c r="G15" s="26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3" t="str">
        <f t="shared" si="0"/>
        <v>—</v>
      </c>
      <c r="AC15" s="24" t="str">
        <f t="shared" si="1"/>
        <v>—</v>
      </c>
      <c r="AD15" s="24">
        <f t="shared" si="2"/>
        <v>0</v>
      </c>
    </row>
    <row r="16" spans="2:30" ht="18" customHeight="1" x14ac:dyDescent="0.25">
      <c r="B16" s="20" t="s">
        <v>109</v>
      </c>
      <c r="C16" s="21"/>
      <c r="D16" s="21"/>
      <c r="E16" s="21"/>
      <c r="F16" s="21"/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3" t="str">
        <f t="shared" si="0"/>
        <v>—</v>
      </c>
      <c r="AC16" s="24" t="str">
        <f t="shared" si="1"/>
        <v>—</v>
      </c>
      <c r="AD16" s="24">
        <f t="shared" si="2"/>
        <v>0</v>
      </c>
    </row>
    <row r="17" spans="2:30" ht="18" customHeight="1" x14ac:dyDescent="0.25">
      <c r="B17" s="25" t="s">
        <v>110</v>
      </c>
      <c r="C17" s="26"/>
      <c r="D17" s="26"/>
      <c r="E17" s="26"/>
      <c r="F17" s="26"/>
      <c r="G17" s="26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3" t="str">
        <f t="shared" si="0"/>
        <v>—</v>
      </c>
      <c r="AC17" s="24" t="str">
        <f t="shared" si="1"/>
        <v>—</v>
      </c>
      <c r="AD17" s="24">
        <f t="shared" si="2"/>
        <v>0</v>
      </c>
    </row>
    <row r="18" spans="2:30" ht="18" customHeight="1" x14ac:dyDescent="0.25">
      <c r="B18" s="20" t="s">
        <v>111</v>
      </c>
      <c r="C18" s="21"/>
      <c r="D18" s="21"/>
      <c r="E18" s="21"/>
      <c r="F18" s="21"/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3" t="str">
        <f t="shared" si="0"/>
        <v>—</v>
      </c>
      <c r="AC18" s="24" t="str">
        <f t="shared" si="1"/>
        <v>—</v>
      </c>
      <c r="AD18" s="24">
        <f t="shared" si="2"/>
        <v>0</v>
      </c>
    </row>
    <row r="19" spans="2:30" ht="18" customHeight="1" x14ac:dyDescent="0.25">
      <c r="B19" s="25" t="s">
        <v>112</v>
      </c>
      <c r="C19" s="26"/>
      <c r="D19" s="26"/>
      <c r="E19" s="26"/>
      <c r="F19" s="26"/>
      <c r="G19" s="26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 t="str">
        <f t="shared" si="0"/>
        <v>—</v>
      </c>
      <c r="AC19" s="24" t="str">
        <f t="shared" si="1"/>
        <v>—</v>
      </c>
      <c r="AD19" s="24">
        <f t="shared" si="2"/>
        <v>0</v>
      </c>
    </row>
    <row r="20" spans="2:30" ht="18" customHeight="1" x14ac:dyDescent="0.25">
      <c r="B20" s="20" t="s">
        <v>113</v>
      </c>
      <c r="C20" s="21"/>
      <c r="D20" s="21"/>
      <c r="E20" s="21"/>
      <c r="F20" s="21"/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3" t="str">
        <f t="shared" si="0"/>
        <v>—</v>
      </c>
      <c r="AC20" s="24" t="str">
        <f t="shared" si="1"/>
        <v>—</v>
      </c>
      <c r="AD20" s="24">
        <f t="shared" si="2"/>
        <v>0</v>
      </c>
    </row>
    <row r="21" spans="2:30" ht="18" customHeight="1" x14ac:dyDescent="0.25">
      <c r="B21" s="25" t="s">
        <v>114</v>
      </c>
      <c r="C21" s="26"/>
      <c r="D21" s="26"/>
      <c r="E21" s="26"/>
      <c r="F21" s="26"/>
      <c r="G21" s="26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3" t="str">
        <f t="shared" si="0"/>
        <v>—</v>
      </c>
      <c r="AC21" s="24" t="str">
        <f t="shared" si="1"/>
        <v>—</v>
      </c>
      <c r="AD21" s="24">
        <f t="shared" si="2"/>
        <v>0</v>
      </c>
    </row>
    <row r="22" spans="2:30" ht="18" customHeight="1" x14ac:dyDescent="0.25">
      <c r="B22" s="20" t="s">
        <v>115</v>
      </c>
      <c r="C22" s="21"/>
      <c r="D22" s="21"/>
      <c r="E22" s="21"/>
      <c r="F22" s="21"/>
      <c r="G22" s="21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3" t="str">
        <f t="shared" si="0"/>
        <v>—</v>
      </c>
      <c r="AC22" s="24" t="str">
        <f t="shared" si="1"/>
        <v>—</v>
      </c>
      <c r="AD22" s="24">
        <f t="shared" si="2"/>
        <v>0</v>
      </c>
    </row>
    <row r="23" spans="2:30" ht="18" customHeight="1" x14ac:dyDescent="0.25">
      <c r="B23" s="25" t="s">
        <v>116</v>
      </c>
      <c r="C23" s="26"/>
      <c r="D23" s="26"/>
      <c r="E23" s="26"/>
      <c r="F23" s="26"/>
      <c r="G23" s="26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3" t="str">
        <f t="shared" si="0"/>
        <v>—</v>
      </c>
      <c r="AC23" s="24" t="str">
        <f t="shared" si="1"/>
        <v>—</v>
      </c>
      <c r="AD23" s="24">
        <f t="shared" si="2"/>
        <v>0</v>
      </c>
    </row>
    <row r="24" spans="2:30" ht="18" customHeight="1" x14ac:dyDescent="0.25">
      <c r="B24" s="20" t="s">
        <v>117</v>
      </c>
      <c r="C24" s="21"/>
      <c r="D24" s="21"/>
      <c r="E24" s="21"/>
      <c r="F24" s="21"/>
      <c r="G24" s="21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3" t="str">
        <f t="shared" si="0"/>
        <v>—</v>
      </c>
      <c r="AC24" s="24" t="str">
        <f t="shared" si="1"/>
        <v>—</v>
      </c>
      <c r="AD24" s="24">
        <f t="shared" si="2"/>
        <v>0</v>
      </c>
    </row>
    <row r="25" spans="2:30" ht="18" customHeight="1" x14ac:dyDescent="0.25">
      <c r="B25" s="25" t="s">
        <v>118</v>
      </c>
      <c r="C25" s="26"/>
      <c r="D25" s="26"/>
      <c r="E25" s="26"/>
      <c r="F25" s="26"/>
      <c r="G25" s="26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3" t="str">
        <f t="shared" si="0"/>
        <v>—</v>
      </c>
      <c r="AC25" s="24" t="str">
        <f t="shared" si="1"/>
        <v>—</v>
      </c>
      <c r="AD25" s="24">
        <f t="shared" si="2"/>
        <v>0</v>
      </c>
    </row>
    <row r="27" spans="2:30" ht="7.5" customHeight="1" x14ac:dyDescent="0.25"/>
    <row r="28" spans="2:30" ht="19.5" customHeight="1" x14ac:dyDescent="0.25">
      <c r="B28" s="108" t="s">
        <v>119</v>
      </c>
      <c r="C28" s="108"/>
      <c r="D28" s="108"/>
      <c r="E28" s="108"/>
      <c r="F28" s="108"/>
      <c r="G28" s="108"/>
      <c r="H28" s="27">
        <f t="shared" ref="H28:AA28" si="3">IFERROR(AVERAGEIF(H6:H25,"&gt;=1"), "—")</f>
        <v>4</v>
      </c>
      <c r="I28" s="27">
        <f t="shared" si="3"/>
        <v>5</v>
      </c>
      <c r="J28" s="27">
        <f t="shared" si="3"/>
        <v>3.3333333333333335</v>
      </c>
      <c r="K28" s="27">
        <f t="shared" si="3"/>
        <v>4</v>
      </c>
      <c r="L28" s="27">
        <f t="shared" si="3"/>
        <v>5</v>
      </c>
      <c r="M28" s="27">
        <f t="shared" si="3"/>
        <v>4</v>
      </c>
      <c r="N28" s="27">
        <f t="shared" si="3"/>
        <v>4.333333333333333</v>
      </c>
      <c r="O28" s="27">
        <f t="shared" si="3"/>
        <v>4.333333333333333</v>
      </c>
      <c r="P28" s="27">
        <f t="shared" si="3"/>
        <v>4</v>
      </c>
      <c r="Q28" s="27">
        <f t="shared" si="3"/>
        <v>5</v>
      </c>
      <c r="R28" s="27">
        <f t="shared" si="3"/>
        <v>1.6666666666666667</v>
      </c>
      <c r="S28" s="27">
        <f t="shared" si="3"/>
        <v>1.6666666666666667</v>
      </c>
      <c r="T28" s="27">
        <f t="shared" si="3"/>
        <v>4.666666666666667</v>
      </c>
      <c r="U28" s="27">
        <f t="shared" si="3"/>
        <v>2.6666666666666665</v>
      </c>
      <c r="V28" s="27">
        <f t="shared" si="3"/>
        <v>2.6666666666666665</v>
      </c>
      <c r="W28" s="27">
        <f t="shared" si="3"/>
        <v>1.6666666666666667</v>
      </c>
      <c r="X28" s="27">
        <f t="shared" si="3"/>
        <v>3.6666666666666665</v>
      </c>
      <c r="Y28" s="27">
        <f t="shared" si="3"/>
        <v>3</v>
      </c>
      <c r="Z28" s="27">
        <f t="shared" si="3"/>
        <v>3.3333333333333335</v>
      </c>
      <c r="AA28" s="27">
        <f t="shared" si="3"/>
        <v>1.6666666666666667</v>
      </c>
      <c r="AB28" s="28">
        <f>IFERROR(AVERAGE(H28:AA28),"—")</f>
        <v>3.4833333333333329</v>
      </c>
    </row>
    <row r="29" spans="2:30" ht="19.5" customHeight="1" x14ac:dyDescent="0.25">
      <c r="B29" s="109" t="s">
        <v>120</v>
      </c>
      <c r="C29" s="109"/>
      <c r="D29" s="109"/>
      <c r="E29" s="109"/>
      <c r="F29" s="109"/>
      <c r="G29" s="109"/>
      <c r="H29" s="29">
        <f t="shared" ref="H29:AA29" si="4">IFERROR(STDEV(H6:H25),"—")</f>
        <v>1.7320508075688772</v>
      </c>
      <c r="I29" s="29">
        <f t="shared" si="4"/>
        <v>0</v>
      </c>
      <c r="J29" s="29">
        <f t="shared" si="4"/>
        <v>2.0816659994661326</v>
      </c>
      <c r="K29" s="29">
        <f t="shared" si="4"/>
        <v>1</v>
      </c>
      <c r="L29" s="29">
        <f t="shared" si="4"/>
        <v>0</v>
      </c>
      <c r="M29" s="29">
        <f t="shared" si="4"/>
        <v>1</v>
      </c>
      <c r="N29" s="29">
        <f t="shared" si="4"/>
        <v>0.57735026918962473</v>
      </c>
      <c r="O29" s="29">
        <f t="shared" si="4"/>
        <v>0.57735026918962473</v>
      </c>
      <c r="P29" s="29">
        <f t="shared" si="4"/>
        <v>1</v>
      </c>
      <c r="Q29" s="29">
        <f t="shared" si="4"/>
        <v>0</v>
      </c>
      <c r="R29" s="29">
        <f t="shared" si="4"/>
        <v>1.1547005383792515</v>
      </c>
      <c r="S29" s="29">
        <f t="shared" si="4"/>
        <v>1.1547005383792515</v>
      </c>
      <c r="T29" s="29">
        <f t="shared" si="4"/>
        <v>0.57735026918962784</v>
      </c>
      <c r="U29" s="29">
        <f t="shared" si="4"/>
        <v>2.0816659994661331</v>
      </c>
      <c r="V29" s="29">
        <f t="shared" si="4"/>
        <v>1.5275252316519468</v>
      </c>
      <c r="W29" s="29">
        <f t="shared" si="4"/>
        <v>1.1547005383792515</v>
      </c>
      <c r="X29" s="29">
        <f t="shared" si="4"/>
        <v>2.3094010767585029</v>
      </c>
      <c r="Y29" s="29">
        <f t="shared" si="4"/>
        <v>2</v>
      </c>
      <c r="Z29" s="29">
        <f t="shared" si="4"/>
        <v>2.0816659994661326</v>
      </c>
      <c r="AA29" s="29">
        <f t="shared" si="4"/>
        <v>1.1547005383792515</v>
      </c>
      <c r="AB29" s="28">
        <f>IFERROR(AVERAGE(H29:AA29),"—")</f>
        <v>1.1582414037731805</v>
      </c>
    </row>
    <row r="30" spans="2:30" ht="19.5" customHeight="1" x14ac:dyDescent="0.25">
      <c r="B30" s="110" t="s">
        <v>121</v>
      </c>
      <c r="C30" s="110"/>
      <c r="D30" s="110"/>
      <c r="E30" s="110"/>
      <c r="F30" s="110"/>
      <c r="G30" s="110"/>
      <c r="H30" s="30">
        <f>IFERROR(_xlfn.MINIFS(H6:H25,H6:H25,"&gt;=1"),"—")</f>
        <v>2</v>
      </c>
      <c r="I30" s="30">
        <f t="shared" ref="I30:AA30" si="5">IFERROR(_xlfn.MINIFS(I6:I25,I6:I25,"&gt;=1"),"—")</f>
        <v>5</v>
      </c>
      <c r="J30" s="30">
        <f t="shared" si="5"/>
        <v>1</v>
      </c>
      <c r="K30" s="30">
        <f t="shared" si="5"/>
        <v>3</v>
      </c>
      <c r="L30" s="30">
        <f t="shared" si="5"/>
        <v>5</v>
      </c>
      <c r="M30" s="30">
        <f t="shared" si="5"/>
        <v>3</v>
      </c>
      <c r="N30" s="30">
        <f t="shared" si="5"/>
        <v>4</v>
      </c>
      <c r="O30" s="30">
        <f t="shared" si="5"/>
        <v>4</v>
      </c>
      <c r="P30" s="30">
        <f t="shared" si="5"/>
        <v>3</v>
      </c>
      <c r="Q30" s="30">
        <f t="shared" si="5"/>
        <v>5</v>
      </c>
      <c r="R30" s="30">
        <f t="shared" si="5"/>
        <v>1</v>
      </c>
      <c r="S30" s="30">
        <f t="shared" si="5"/>
        <v>1</v>
      </c>
      <c r="T30" s="30">
        <f t="shared" si="5"/>
        <v>4</v>
      </c>
      <c r="U30" s="30">
        <f t="shared" si="5"/>
        <v>1</v>
      </c>
      <c r="V30" s="30">
        <f t="shared" si="5"/>
        <v>1</v>
      </c>
      <c r="W30" s="30">
        <f t="shared" si="5"/>
        <v>1</v>
      </c>
      <c r="X30" s="30">
        <f t="shared" si="5"/>
        <v>1</v>
      </c>
      <c r="Y30" s="30">
        <f t="shared" si="5"/>
        <v>1</v>
      </c>
      <c r="Z30" s="30">
        <f t="shared" si="5"/>
        <v>1</v>
      </c>
      <c r="AA30" s="30">
        <f t="shared" si="5"/>
        <v>1</v>
      </c>
      <c r="AB30" s="28">
        <f>IFERROR(AVERAGE(H30:AA30),"—")</f>
        <v>2.4</v>
      </c>
    </row>
    <row r="31" spans="2:30" ht="19.5" customHeight="1" x14ac:dyDescent="0.25">
      <c r="B31" s="110" t="s">
        <v>122</v>
      </c>
      <c r="C31" s="110"/>
      <c r="D31" s="110"/>
      <c r="E31" s="110"/>
      <c r="F31" s="110"/>
      <c r="G31" s="110"/>
      <c r="H31" s="29">
        <f t="shared" ref="H31:AA31" si="6">IFERROR(MAX(H6:H25),"—")</f>
        <v>5</v>
      </c>
      <c r="I31" s="29">
        <f t="shared" si="6"/>
        <v>5</v>
      </c>
      <c r="J31" s="29">
        <f t="shared" si="6"/>
        <v>5</v>
      </c>
      <c r="K31" s="29">
        <f t="shared" si="6"/>
        <v>5</v>
      </c>
      <c r="L31" s="29">
        <f t="shared" si="6"/>
        <v>5</v>
      </c>
      <c r="M31" s="29">
        <f t="shared" si="6"/>
        <v>5</v>
      </c>
      <c r="N31" s="29">
        <f t="shared" si="6"/>
        <v>5</v>
      </c>
      <c r="O31" s="29">
        <f t="shared" si="6"/>
        <v>5</v>
      </c>
      <c r="P31" s="29">
        <f t="shared" si="6"/>
        <v>5</v>
      </c>
      <c r="Q31" s="29">
        <f t="shared" si="6"/>
        <v>5</v>
      </c>
      <c r="R31" s="29">
        <f t="shared" si="6"/>
        <v>3</v>
      </c>
      <c r="S31" s="29">
        <f t="shared" si="6"/>
        <v>3</v>
      </c>
      <c r="T31" s="29">
        <f t="shared" si="6"/>
        <v>5</v>
      </c>
      <c r="U31" s="29">
        <f t="shared" si="6"/>
        <v>5</v>
      </c>
      <c r="V31" s="29">
        <f t="shared" si="6"/>
        <v>4</v>
      </c>
      <c r="W31" s="29">
        <f t="shared" si="6"/>
        <v>3</v>
      </c>
      <c r="X31" s="29">
        <f t="shared" si="6"/>
        <v>5</v>
      </c>
      <c r="Y31" s="29">
        <f t="shared" si="6"/>
        <v>5</v>
      </c>
      <c r="Z31" s="29">
        <f t="shared" si="6"/>
        <v>5</v>
      </c>
      <c r="AA31" s="29">
        <f t="shared" si="6"/>
        <v>3</v>
      </c>
      <c r="AB31" s="28">
        <f>IFERROR(AVERAGE(H31:AA31),"—")</f>
        <v>4.55</v>
      </c>
    </row>
    <row r="32" spans="2:30" ht="19.5" customHeight="1" x14ac:dyDescent="0.25">
      <c r="B32" s="111" t="s">
        <v>123</v>
      </c>
      <c r="C32" s="111"/>
      <c r="D32" s="111"/>
      <c r="E32" s="111"/>
      <c r="F32" s="111"/>
      <c r="G32" s="111"/>
      <c r="H32" s="31">
        <f t="shared" ref="H32:AA32" si="7">IFERROR(COUNTIF(H6:H25,"&gt;=4")/COUNTIF(H6:H25,"&gt;=1"),"—")</f>
        <v>0.66666666666666663</v>
      </c>
      <c r="I32" s="31">
        <f t="shared" si="7"/>
        <v>1</v>
      </c>
      <c r="J32" s="31">
        <f t="shared" si="7"/>
        <v>0.66666666666666663</v>
      </c>
      <c r="K32" s="31">
        <f t="shared" si="7"/>
        <v>0.66666666666666663</v>
      </c>
      <c r="L32" s="31">
        <f t="shared" si="7"/>
        <v>1</v>
      </c>
      <c r="M32" s="31">
        <f t="shared" si="7"/>
        <v>0.66666666666666663</v>
      </c>
      <c r="N32" s="31">
        <f t="shared" si="7"/>
        <v>1</v>
      </c>
      <c r="O32" s="31">
        <f t="shared" si="7"/>
        <v>1</v>
      </c>
      <c r="P32" s="31">
        <f t="shared" si="7"/>
        <v>0.66666666666666663</v>
      </c>
      <c r="Q32" s="31">
        <f t="shared" si="7"/>
        <v>1</v>
      </c>
      <c r="R32" s="31">
        <f t="shared" si="7"/>
        <v>0</v>
      </c>
      <c r="S32" s="31">
        <f t="shared" si="7"/>
        <v>0</v>
      </c>
      <c r="T32" s="31">
        <f t="shared" si="7"/>
        <v>1</v>
      </c>
      <c r="U32" s="31">
        <f t="shared" si="7"/>
        <v>0.33333333333333331</v>
      </c>
      <c r="V32" s="31">
        <f t="shared" si="7"/>
        <v>0.33333333333333331</v>
      </c>
      <c r="W32" s="31">
        <f t="shared" si="7"/>
        <v>0</v>
      </c>
      <c r="X32" s="31">
        <f t="shared" si="7"/>
        <v>0.66666666666666663</v>
      </c>
      <c r="Y32" s="31">
        <f t="shared" si="7"/>
        <v>0.33333333333333331</v>
      </c>
      <c r="Z32" s="31">
        <f t="shared" si="7"/>
        <v>0.66666666666666663</v>
      </c>
      <c r="AA32" s="31">
        <f t="shared" si="7"/>
        <v>0</v>
      </c>
      <c r="AB32" s="32">
        <f>IFERROR(AVERAGE(H32:AA32),"—")</f>
        <v>0.58333333333333326</v>
      </c>
    </row>
  </sheetData>
  <mergeCells count="10">
    <mergeCell ref="B2:AD2"/>
    <mergeCell ref="H3:L3"/>
    <mergeCell ref="M3:Q3"/>
    <mergeCell ref="R3:V3"/>
    <mergeCell ref="W3:AA3"/>
    <mergeCell ref="B28:G28"/>
    <mergeCell ref="B29:G29"/>
    <mergeCell ref="B30:G30"/>
    <mergeCell ref="B31:G31"/>
    <mergeCell ref="B32:G32"/>
  </mergeCells>
  <dataValidations count="1">
    <dataValidation type="whole" errorTitle="Valor inválido" error="Solo valores del 1 al 5" promptTitle="Escala Likert" prompt="Ingrese 1, 2, 3, 4 o 5" sqref="H6:AA25" xr:uid="{00000000-0002-0000-01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D32"/>
  <sheetViews>
    <sheetView zoomScaleNormal="100" workbookViewId="0">
      <pane xSplit="7" ySplit="5" topLeftCell="Q6" activePane="bottomRight" state="frozen"/>
      <selection pane="topRight" activeCell="H1" sqref="H1"/>
      <selection pane="bottomLeft" activeCell="A6" sqref="A6"/>
      <selection pane="bottomRight" activeCell="AA5" sqref="AA5"/>
    </sheetView>
  </sheetViews>
  <sheetFormatPr baseColWidth="10" defaultColWidth="8.7109375" defaultRowHeight="15" x14ac:dyDescent="0.25"/>
  <cols>
    <col min="1" max="1" width="3" customWidth="1"/>
    <col min="2" max="3" width="12" customWidth="1"/>
    <col min="4" max="4" width="8" customWidth="1"/>
    <col min="5" max="5" width="10" customWidth="1"/>
    <col min="6" max="6" width="27.28515625" bestFit="1" customWidth="1"/>
    <col min="7" max="7" width="41.85546875" bestFit="1" customWidth="1"/>
    <col min="8" max="27" width="6" customWidth="1"/>
    <col min="28" max="29" width="9" customWidth="1"/>
    <col min="30" max="30" width="7" customWidth="1"/>
  </cols>
  <sheetData>
    <row r="1" spans="2:30" ht="9.75" customHeight="1" x14ac:dyDescent="0.25"/>
    <row r="2" spans="2:30" ht="36" customHeight="1" x14ac:dyDescent="0.25">
      <c r="B2" s="115" t="s">
        <v>124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</row>
    <row r="3" spans="2:30" ht="21.75" customHeight="1" x14ac:dyDescent="0.25">
      <c r="H3" s="116" t="s">
        <v>125</v>
      </c>
      <c r="I3" s="116"/>
      <c r="J3" s="116"/>
      <c r="K3" s="116"/>
      <c r="L3" s="116"/>
      <c r="M3" s="116" t="s">
        <v>48</v>
      </c>
      <c r="N3" s="116"/>
      <c r="O3" s="116"/>
      <c r="P3" s="116"/>
      <c r="Q3" s="116"/>
      <c r="R3" s="116" t="s">
        <v>126</v>
      </c>
      <c r="S3" s="116"/>
      <c r="T3" s="116"/>
      <c r="U3" s="116"/>
      <c r="V3" s="116"/>
      <c r="W3" s="116" t="s">
        <v>127</v>
      </c>
      <c r="X3" s="116"/>
      <c r="Y3" s="116"/>
      <c r="Z3" s="116"/>
      <c r="AA3" s="116"/>
    </row>
    <row r="4" spans="2:30" ht="51.75" customHeight="1" x14ac:dyDescent="0.25">
      <c r="B4" s="33" t="s">
        <v>50</v>
      </c>
      <c r="C4" s="33" t="s">
        <v>51</v>
      </c>
      <c r="D4" s="33" t="s">
        <v>52</v>
      </c>
      <c r="E4" s="33" t="s">
        <v>53</v>
      </c>
      <c r="F4" s="33" t="s">
        <v>258</v>
      </c>
      <c r="G4" s="33" t="s">
        <v>54</v>
      </c>
      <c r="H4" s="33" t="s">
        <v>55</v>
      </c>
      <c r="I4" s="33" t="s">
        <v>56</v>
      </c>
      <c r="J4" s="33" t="s">
        <v>57</v>
      </c>
      <c r="K4" s="33" t="s">
        <v>58</v>
      </c>
      <c r="L4" s="33" t="s">
        <v>59</v>
      </c>
      <c r="M4" s="33" t="s">
        <v>60</v>
      </c>
      <c r="N4" s="33" t="s">
        <v>61</v>
      </c>
      <c r="O4" s="33" t="s">
        <v>62</v>
      </c>
      <c r="P4" s="33" t="s">
        <v>63</v>
      </c>
      <c r="Q4" s="33" t="s">
        <v>64</v>
      </c>
      <c r="R4" s="33" t="s">
        <v>65</v>
      </c>
      <c r="S4" s="33" t="s">
        <v>66</v>
      </c>
      <c r="T4" s="33" t="s">
        <v>67</v>
      </c>
      <c r="U4" s="33" t="s">
        <v>68</v>
      </c>
      <c r="V4" s="33" t="s">
        <v>69</v>
      </c>
      <c r="W4" s="33" t="s">
        <v>70</v>
      </c>
      <c r="X4" s="33" t="s">
        <v>71</v>
      </c>
      <c r="Y4" s="33" t="s">
        <v>72</v>
      </c>
      <c r="Z4" s="33" t="s">
        <v>73</v>
      </c>
      <c r="AA4" s="33" t="s">
        <v>74</v>
      </c>
      <c r="AB4" s="16" t="s">
        <v>75</v>
      </c>
      <c r="AC4" s="16" t="s">
        <v>76</v>
      </c>
      <c r="AD4" s="16" t="s">
        <v>77</v>
      </c>
    </row>
    <row r="5" spans="2:30" ht="79.5" customHeight="1" x14ac:dyDescent="0.25">
      <c r="B5" s="17"/>
      <c r="C5" s="17"/>
      <c r="D5" s="17"/>
      <c r="E5" s="17"/>
      <c r="F5" s="17"/>
      <c r="G5" s="17"/>
      <c r="H5" s="98" t="s">
        <v>414</v>
      </c>
      <c r="I5" s="34" t="s">
        <v>79</v>
      </c>
      <c r="J5" s="34" t="s">
        <v>80</v>
      </c>
      <c r="K5" s="34" t="s">
        <v>355</v>
      </c>
      <c r="L5" s="98" t="s">
        <v>407</v>
      </c>
      <c r="M5" s="102" t="s">
        <v>83</v>
      </c>
      <c r="N5" s="18" t="s">
        <v>84</v>
      </c>
      <c r="O5" s="18" t="s">
        <v>85</v>
      </c>
      <c r="P5" s="18" t="s">
        <v>86</v>
      </c>
      <c r="Q5" s="18" t="s">
        <v>87</v>
      </c>
      <c r="R5" s="18" t="s">
        <v>88</v>
      </c>
      <c r="S5" s="18" t="s">
        <v>89</v>
      </c>
      <c r="T5" s="18" t="s">
        <v>90</v>
      </c>
      <c r="U5" s="18" t="s">
        <v>91</v>
      </c>
      <c r="V5" s="18" t="s">
        <v>92</v>
      </c>
      <c r="W5" s="18" t="s">
        <v>93</v>
      </c>
      <c r="X5" s="18" t="s">
        <v>94</v>
      </c>
      <c r="Y5" s="18" t="s">
        <v>95</v>
      </c>
      <c r="Z5" s="18" t="s">
        <v>96</v>
      </c>
      <c r="AA5" s="18" t="s">
        <v>97</v>
      </c>
      <c r="AB5" s="19" t="s">
        <v>98</v>
      </c>
      <c r="AC5" s="19" t="s">
        <v>98</v>
      </c>
      <c r="AD5" s="19" t="s">
        <v>98</v>
      </c>
    </row>
    <row r="6" spans="2:30" ht="18" customHeight="1" x14ac:dyDescent="0.25">
      <c r="B6" s="20" t="s">
        <v>128</v>
      </c>
      <c r="C6" s="85">
        <v>46003</v>
      </c>
      <c r="D6" s="21">
        <v>56</v>
      </c>
      <c r="E6" s="21" t="s">
        <v>252</v>
      </c>
      <c r="F6" s="21" t="s">
        <v>259</v>
      </c>
      <c r="G6" s="21" t="s">
        <v>269</v>
      </c>
      <c r="H6" s="22">
        <v>4</v>
      </c>
      <c r="I6" s="22">
        <v>5</v>
      </c>
      <c r="J6" s="22">
        <v>4</v>
      </c>
      <c r="K6" s="22">
        <v>4</v>
      </c>
      <c r="L6" s="22">
        <v>2</v>
      </c>
      <c r="M6" s="22">
        <v>5</v>
      </c>
      <c r="N6" s="22">
        <v>5</v>
      </c>
      <c r="O6" s="22">
        <v>3</v>
      </c>
      <c r="P6" s="22">
        <v>3</v>
      </c>
      <c r="Q6" s="22">
        <v>4</v>
      </c>
      <c r="R6" s="22">
        <v>1</v>
      </c>
      <c r="S6" s="22">
        <v>1</v>
      </c>
      <c r="T6" s="22">
        <v>4</v>
      </c>
      <c r="U6" s="22">
        <v>2</v>
      </c>
      <c r="V6" s="22">
        <v>4</v>
      </c>
      <c r="W6" s="22">
        <v>1</v>
      </c>
      <c r="X6" s="22">
        <v>5</v>
      </c>
      <c r="Y6" s="22">
        <v>5</v>
      </c>
      <c r="Z6" s="22">
        <v>4</v>
      </c>
      <c r="AA6" s="22">
        <v>1</v>
      </c>
      <c r="AB6" s="35">
        <f t="shared" ref="AB6:AB25" si="0">IFERROR(AVERAGEIF(H6:AA6,"&gt;=1"),"—")</f>
        <v>3.35</v>
      </c>
      <c r="AC6" s="36">
        <f t="shared" ref="AC6:AC25" si="1">IFERROR(STDEV(H6:AA6),"—")</f>
        <v>1.4964871146156009</v>
      </c>
      <c r="AD6" s="36">
        <f t="shared" ref="AD6:AD25" si="2">COUNTIF(H6:AA6,"&gt;=1")</f>
        <v>20</v>
      </c>
    </row>
    <row r="7" spans="2:30" ht="18" customHeight="1" x14ac:dyDescent="0.25">
      <c r="B7" s="25" t="s">
        <v>129</v>
      </c>
      <c r="C7" s="84">
        <v>45966</v>
      </c>
      <c r="D7" s="26">
        <v>49</v>
      </c>
      <c r="E7" s="26" t="s">
        <v>252</v>
      </c>
      <c r="F7" s="26" t="s">
        <v>357</v>
      </c>
      <c r="G7" s="26" t="s">
        <v>354</v>
      </c>
      <c r="H7" s="22">
        <v>2</v>
      </c>
      <c r="I7" s="22">
        <v>4</v>
      </c>
      <c r="J7" s="22">
        <v>5</v>
      </c>
      <c r="K7" s="22">
        <v>4</v>
      </c>
      <c r="L7" s="22">
        <v>2</v>
      </c>
      <c r="M7" s="22">
        <v>5</v>
      </c>
      <c r="N7" s="22">
        <v>5</v>
      </c>
      <c r="O7" s="22">
        <v>3</v>
      </c>
      <c r="P7" s="22">
        <v>3</v>
      </c>
      <c r="Q7" s="22">
        <v>4</v>
      </c>
      <c r="R7" s="22">
        <v>4</v>
      </c>
      <c r="S7" s="22">
        <v>4</v>
      </c>
      <c r="T7" s="22">
        <v>5</v>
      </c>
      <c r="U7" s="22">
        <v>3</v>
      </c>
      <c r="V7" s="22">
        <v>4</v>
      </c>
      <c r="W7" s="22">
        <v>4</v>
      </c>
      <c r="X7" s="22">
        <v>5</v>
      </c>
      <c r="Y7" s="22">
        <v>5</v>
      </c>
      <c r="Z7" s="22">
        <v>4</v>
      </c>
      <c r="AA7" s="22">
        <v>3</v>
      </c>
      <c r="AB7" s="35">
        <f t="shared" si="0"/>
        <v>3.9</v>
      </c>
      <c r="AC7" s="36">
        <f t="shared" si="1"/>
        <v>0.96790604154698734</v>
      </c>
      <c r="AD7" s="36">
        <f t="shared" si="2"/>
        <v>20</v>
      </c>
    </row>
    <row r="8" spans="2:30" ht="18" customHeight="1" x14ac:dyDescent="0.25">
      <c r="B8" s="20" t="s">
        <v>130</v>
      </c>
      <c r="C8" s="85">
        <v>45967</v>
      </c>
      <c r="D8" s="21">
        <v>57</v>
      </c>
      <c r="E8" s="21" t="s">
        <v>260</v>
      </c>
      <c r="F8" s="21" t="s">
        <v>358</v>
      </c>
      <c r="G8" s="21" t="s">
        <v>359</v>
      </c>
      <c r="H8" s="22">
        <v>3</v>
      </c>
      <c r="I8" s="22">
        <v>5</v>
      </c>
      <c r="J8" s="22">
        <v>5</v>
      </c>
      <c r="K8" s="22">
        <v>3</v>
      </c>
      <c r="L8" s="22">
        <v>4</v>
      </c>
      <c r="M8" s="22">
        <v>5</v>
      </c>
      <c r="N8" s="22">
        <v>5</v>
      </c>
      <c r="O8" s="22">
        <v>5</v>
      </c>
      <c r="P8" s="22">
        <v>3</v>
      </c>
      <c r="Q8" s="22">
        <v>5</v>
      </c>
      <c r="R8" s="22">
        <v>5</v>
      </c>
      <c r="S8" s="22">
        <v>5</v>
      </c>
      <c r="T8" s="22">
        <v>5</v>
      </c>
      <c r="U8" s="22">
        <v>2</v>
      </c>
      <c r="V8" s="22">
        <v>5</v>
      </c>
      <c r="W8" s="22">
        <v>5</v>
      </c>
      <c r="X8" s="22">
        <v>5</v>
      </c>
      <c r="Y8" s="22">
        <v>5</v>
      </c>
      <c r="Z8" s="22">
        <v>5</v>
      </c>
      <c r="AA8" s="22">
        <v>5</v>
      </c>
      <c r="AB8" s="35">
        <f t="shared" si="0"/>
        <v>4.5</v>
      </c>
      <c r="AC8" s="36">
        <f t="shared" si="1"/>
        <v>0.94590530292691732</v>
      </c>
      <c r="AD8" s="36">
        <f t="shared" si="2"/>
        <v>20</v>
      </c>
    </row>
    <row r="9" spans="2:30" ht="18" customHeight="1" x14ac:dyDescent="0.25">
      <c r="B9" s="25" t="s">
        <v>131</v>
      </c>
      <c r="C9" s="26"/>
      <c r="D9" s="26"/>
      <c r="E9" s="26"/>
      <c r="F9" s="26"/>
      <c r="G9" s="26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35" t="str">
        <f t="shared" si="0"/>
        <v>—</v>
      </c>
      <c r="AC9" s="36" t="str">
        <f t="shared" si="1"/>
        <v>—</v>
      </c>
      <c r="AD9" s="36">
        <f t="shared" si="2"/>
        <v>0</v>
      </c>
    </row>
    <row r="10" spans="2:30" ht="18" customHeight="1" x14ac:dyDescent="0.25">
      <c r="B10" s="20" t="s">
        <v>132</v>
      </c>
      <c r="C10" s="21"/>
      <c r="D10" s="21"/>
      <c r="E10" s="21"/>
      <c r="F10" s="21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35" t="str">
        <f t="shared" si="0"/>
        <v>—</v>
      </c>
      <c r="AC10" s="36" t="str">
        <f t="shared" si="1"/>
        <v>—</v>
      </c>
      <c r="AD10" s="36">
        <f t="shared" si="2"/>
        <v>0</v>
      </c>
    </row>
    <row r="11" spans="2:30" ht="18" customHeight="1" x14ac:dyDescent="0.25">
      <c r="B11" s="25" t="s">
        <v>133</v>
      </c>
      <c r="C11" s="26"/>
      <c r="D11" s="26"/>
      <c r="E11" s="26"/>
      <c r="F11" s="26"/>
      <c r="G11" s="26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35" t="str">
        <f t="shared" si="0"/>
        <v>—</v>
      </c>
      <c r="AC11" s="36" t="str">
        <f t="shared" si="1"/>
        <v>—</v>
      </c>
      <c r="AD11" s="36">
        <f t="shared" si="2"/>
        <v>0</v>
      </c>
    </row>
    <row r="12" spans="2:30" ht="18" customHeight="1" x14ac:dyDescent="0.25">
      <c r="B12" s="20" t="s">
        <v>134</v>
      </c>
      <c r="C12" s="21"/>
      <c r="D12" s="21"/>
      <c r="E12" s="21"/>
      <c r="F12" s="21"/>
      <c r="G12" s="2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35" t="str">
        <f t="shared" si="0"/>
        <v>—</v>
      </c>
      <c r="AC12" s="36" t="str">
        <f t="shared" si="1"/>
        <v>—</v>
      </c>
      <c r="AD12" s="36">
        <f t="shared" si="2"/>
        <v>0</v>
      </c>
    </row>
    <row r="13" spans="2:30" ht="18" customHeight="1" x14ac:dyDescent="0.25">
      <c r="B13" s="25" t="s">
        <v>135</v>
      </c>
      <c r="C13" s="26"/>
      <c r="D13" s="26"/>
      <c r="E13" s="26"/>
      <c r="F13" s="26"/>
      <c r="G13" s="26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35" t="str">
        <f t="shared" si="0"/>
        <v>—</v>
      </c>
      <c r="AC13" s="36" t="str">
        <f t="shared" si="1"/>
        <v>—</v>
      </c>
      <c r="AD13" s="36">
        <f t="shared" si="2"/>
        <v>0</v>
      </c>
    </row>
    <row r="14" spans="2:30" ht="18" customHeight="1" x14ac:dyDescent="0.25">
      <c r="B14" s="20" t="s">
        <v>136</v>
      </c>
      <c r="C14" s="21"/>
      <c r="D14" s="21"/>
      <c r="E14" s="21"/>
      <c r="F14" s="21"/>
      <c r="G14" s="2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35" t="str">
        <f t="shared" si="0"/>
        <v>—</v>
      </c>
      <c r="AC14" s="36" t="str">
        <f t="shared" si="1"/>
        <v>—</v>
      </c>
      <c r="AD14" s="36">
        <f t="shared" si="2"/>
        <v>0</v>
      </c>
    </row>
    <row r="15" spans="2:30" ht="18" customHeight="1" x14ac:dyDescent="0.25">
      <c r="B15" s="25" t="s">
        <v>137</v>
      </c>
      <c r="C15" s="26"/>
      <c r="D15" s="26"/>
      <c r="E15" s="26"/>
      <c r="F15" s="26"/>
      <c r="G15" s="26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35" t="str">
        <f t="shared" si="0"/>
        <v>—</v>
      </c>
      <c r="AC15" s="36" t="str">
        <f t="shared" si="1"/>
        <v>—</v>
      </c>
      <c r="AD15" s="36">
        <f t="shared" si="2"/>
        <v>0</v>
      </c>
    </row>
    <row r="16" spans="2:30" ht="18" customHeight="1" x14ac:dyDescent="0.25">
      <c r="B16" s="20" t="s">
        <v>138</v>
      </c>
      <c r="C16" s="21"/>
      <c r="D16" s="21"/>
      <c r="E16" s="21"/>
      <c r="F16" s="21"/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35" t="str">
        <f t="shared" si="0"/>
        <v>—</v>
      </c>
      <c r="AC16" s="36" t="str">
        <f t="shared" si="1"/>
        <v>—</v>
      </c>
      <c r="AD16" s="36">
        <f t="shared" si="2"/>
        <v>0</v>
      </c>
    </row>
    <row r="17" spans="2:30" ht="18" customHeight="1" x14ac:dyDescent="0.25">
      <c r="B17" s="25" t="s">
        <v>139</v>
      </c>
      <c r="C17" s="26"/>
      <c r="D17" s="26"/>
      <c r="E17" s="26"/>
      <c r="F17" s="26"/>
      <c r="G17" s="26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35" t="str">
        <f t="shared" si="0"/>
        <v>—</v>
      </c>
      <c r="AC17" s="36" t="str">
        <f t="shared" si="1"/>
        <v>—</v>
      </c>
      <c r="AD17" s="36">
        <f t="shared" si="2"/>
        <v>0</v>
      </c>
    </row>
    <row r="18" spans="2:30" ht="18" customHeight="1" x14ac:dyDescent="0.25">
      <c r="B18" s="20" t="s">
        <v>140</v>
      </c>
      <c r="C18" s="21"/>
      <c r="D18" s="21"/>
      <c r="E18" s="21"/>
      <c r="F18" s="21"/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35" t="str">
        <f t="shared" si="0"/>
        <v>—</v>
      </c>
      <c r="AC18" s="36" t="str">
        <f t="shared" si="1"/>
        <v>—</v>
      </c>
      <c r="AD18" s="36">
        <f t="shared" si="2"/>
        <v>0</v>
      </c>
    </row>
    <row r="19" spans="2:30" ht="18" customHeight="1" x14ac:dyDescent="0.25">
      <c r="B19" s="25" t="s">
        <v>141</v>
      </c>
      <c r="C19" s="26"/>
      <c r="D19" s="26"/>
      <c r="E19" s="26"/>
      <c r="F19" s="26"/>
      <c r="G19" s="26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35" t="str">
        <f t="shared" si="0"/>
        <v>—</v>
      </c>
      <c r="AC19" s="36" t="str">
        <f t="shared" si="1"/>
        <v>—</v>
      </c>
      <c r="AD19" s="36">
        <f t="shared" si="2"/>
        <v>0</v>
      </c>
    </row>
    <row r="20" spans="2:30" ht="18" customHeight="1" x14ac:dyDescent="0.25">
      <c r="B20" s="20" t="s">
        <v>142</v>
      </c>
      <c r="C20" s="21"/>
      <c r="D20" s="21"/>
      <c r="E20" s="21"/>
      <c r="F20" s="21"/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35" t="str">
        <f t="shared" si="0"/>
        <v>—</v>
      </c>
      <c r="AC20" s="36" t="str">
        <f t="shared" si="1"/>
        <v>—</v>
      </c>
      <c r="AD20" s="36">
        <f t="shared" si="2"/>
        <v>0</v>
      </c>
    </row>
    <row r="21" spans="2:30" ht="18" customHeight="1" x14ac:dyDescent="0.25">
      <c r="B21" s="25" t="s">
        <v>143</v>
      </c>
      <c r="C21" s="26"/>
      <c r="D21" s="26"/>
      <c r="E21" s="26"/>
      <c r="F21" s="26"/>
      <c r="G21" s="26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35" t="str">
        <f t="shared" si="0"/>
        <v>—</v>
      </c>
      <c r="AC21" s="36" t="str">
        <f t="shared" si="1"/>
        <v>—</v>
      </c>
      <c r="AD21" s="36">
        <f t="shared" si="2"/>
        <v>0</v>
      </c>
    </row>
    <row r="22" spans="2:30" ht="18" customHeight="1" x14ac:dyDescent="0.25">
      <c r="B22" s="20" t="s">
        <v>144</v>
      </c>
      <c r="C22" s="21"/>
      <c r="D22" s="21"/>
      <c r="E22" s="21"/>
      <c r="F22" s="21"/>
      <c r="G22" s="21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35" t="str">
        <f t="shared" si="0"/>
        <v>—</v>
      </c>
      <c r="AC22" s="36" t="str">
        <f t="shared" si="1"/>
        <v>—</v>
      </c>
      <c r="AD22" s="36">
        <f t="shared" si="2"/>
        <v>0</v>
      </c>
    </row>
    <row r="23" spans="2:30" ht="18" customHeight="1" x14ac:dyDescent="0.25">
      <c r="B23" s="25" t="s">
        <v>145</v>
      </c>
      <c r="C23" s="26"/>
      <c r="D23" s="26"/>
      <c r="E23" s="26"/>
      <c r="F23" s="26"/>
      <c r="G23" s="26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35" t="str">
        <f t="shared" si="0"/>
        <v>—</v>
      </c>
      <c r="AC23" s="36" t="str">
        <f t="shared" si="1"/>
        <v>—</v>
      </c>
      <c r="AD23" s="36">
        <f t="shared" si="2"/>
        <v>0</v>
      </c>
    </row>
    <row r="24" spans="2:30" ht="18" customHeight="1" x14ac:dyDescent="0.25">
      <c r="B24" s="20" t="s">
        <v>146</v>
      </c>
      <c r="C24" s="21"/>
      <c r="D24" s="21"/>
      <c r="E24" s="21"/>
      <c r="F24" s="21"/>
      <c r="G24" s="21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35" t="str">
        <f t="shared" si="0"/>
        <v>—</v>
      </c>
      <c r="AC24" s="36" t="str">
        <f t="shared" si="1"/>
        <v>—</v>
      </c>
      <c r="AD24" s="36">
        <f t="shared" si="2"/>
        <v>0</v>
      </c>
    </row>
    <row r="25" spans="2:30" ht="18" customHeight="1" x14ac:dyDescent="0.25">
      <c r="B25" s="25" t="s">
        <v>147</v>
      </c>
      <c r="C25" s="26"/>
      <c r="D25" s="26"/>
      <c r="E25" s="26"/>
      <c r="F25" s="26"/>
      <c r="G25" s="26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35" t="str">
        <f t="shared" si="0"/>
        <v>—</v>
      </c>
      <c r="AC25" s="36" t="str">
        <f t="shared" si="1"/>
        <v>—</v>
      </c>
      <c r="AD25" s="36">
        <f t="shared" si="2"/>
        <v>0</v>
      </c>
    </row>
    <row r="27" spans="2:30" ht="7.5" customHeight="1" x14ac:dyDescent="0.25"/>
    <row r="28" spans="2:30" ht="19.5" customHeight="1" x14ac:dyDescent="0.25">
      <c r="B28" s="108" t="s">
        <v>119</v>
      </c>
      <c r="C28" s="108"/>
      <c r="D28" s="108"/>
      <c r="E28" s="108"/>
      <c r="F28" s="108"/>
      <c r="G28" s="108"/>
      <c r="H28" s="37">
        <f t="shared" ref="H28:AA28" si="3">IFERROR(AVERAGEIF(H6:H25,"&gt;=1"), "—")</f>
        <v>3</v>
      </c>
      <c r="I28" s="37">
        <f t="shared" si="3"/>
        <v>4.666666666666667</v>
      </c>
      <c r="J28" s="37">
        <f t="shared" si="3"/>
        <v>4.666666666666667</v>
      </c>
      <c r="K28" s="37">
        <f t="shared" si="3"/>
        <v>3.6666666666666665</v>
      </c>
      <c r="L28" s="37">
        <f t="shared" si="3"/>
        <v>2.6666666666666665</v>
      </c>
      <c r="M28" s="37">
        <f t="shared" si="3"/>
        <v>5</v>
      </c>
      <c r="N28" s="37">
        <f t="shared" si="3"/>
        <v>5</v>
      </c>
      <c r="O28" s="37">
        <f t="shared" si="3"/>
        <v>3.6666666666666665</v>
      </c>
      <c r="P28" s="37">
        <f t="shared" si="3"/>
        <v>3</v>
      </c>
      <c r="Q28" s="37">
        <f t="shared" si="3"/>
        <v>4.333333333333333</v>
      </c>
      <c r="R28" s="37">
        <f t="shared" si="3"/>
        <v>3.3333333333333335</v>
      </c>
      <c r="S28" s="37">
        <f t="shared" si="3"/>
        <v>3.3333333333333335</v>
      </c>
      <c r="T28" s="37">
        <f t="shared" si="3"/>
        <v>4.666666666666667</v>
      </c>
      <c r="U28" s="37">
        <f t="shared" si="3"/>
        <v>2.3333333333333335</v>
      </c>
      <c r="V28" s="37">
        <f t="shared" si="3"/>
        <v>4.333333333333333</v>
      </c>
      <c r="W28" s="37">
        <f t="shared" si="3"/>
        <v>3.3333333333333335</v>
      </c>
      <c r="X28" s="37">
        <f t="shared" si="3"/>
        <v>5</v>
      </c>
      <c r="Y28" s="37">
        <f t="shared" si="3"/>
        <v>5</v>
      </c>
      <c r="Z28" s="37">
        <f t="shared" si="3"/>
        <v>4.333333333333333</v>
      </c>
      <c r="AA28" s="37">
        <f t="shared" si="3"/>
        <v>3</v>
      </c>
      <c r="AB28" s="38">
        <f>IFERROR(AVERAGE(H28:AA28),"—")</f>
        <v>3.916666666666667</v>
      </c>
    </row>
    <row r="29" spans="2:30" ht="19.5" customHeight="1" x14ac:dyDescent="0.25">
      <c r="B29" s="109" t="s">
        <v>120</v>
      </c>
      <c r="C29" s="109"/>
      <c r="D29" s="109"/>
      <c r="E29" s="109"/>
      <c r="F29" s="109"/>
      <c r="G29" s="109"/>
      <c r="H29" s="29">
        <f t="shared" ref="H29:AA29" si="4">IFERROR(STDEV(H6:H25),"—")</f>
        <v>1</v>
      </c>
      <c r="I29" s="29">
        <f t="shared" si="4"/>
        <v>0.57735026918962784</v>
      </c>
      <c r="J29" s="29">
        <f t="shared" si="4"/>
        <v>0.57735026918962784</v>
      </c>
      <c r="K29" s="29">
        <f t="shared" si="4"/>
        <v>0.57735026918962473</v>
      </c>
      <c r="L29" s="29">
        <f t="shared" si="4"/>
        <v>1.1547005383792517</v>
      </c>
      <c r="M29" s="29">
        <f t="shared" si="4"/>
        <v>0</v>
      </c>
      <c r="N29" s="29">
        <f t="shared" si="4"/>
        <v>0</v>
      </c>
      <c r="O29" s="29">
        <f t="shared" si="4"/>
        <v>1.154700538379251</v>
      </c>
      <c r="P29" s="29">
        <f t="shared" si="4"/>
        <v>0</v>
      </c>
      <c r="Q29" s="29">
        <f t="shared" si="4"/>
        <v>0.57735026918962473</v>
      </c>
      <c r="R29" s="29">
        <f t="shared" si="4"/>
        <v>2.0816659994661326</v>
      </c>
      <c r="S29" s="29">
        <f t="shared" si="4"/>
        <v>2.0816659994661326</v>
      </c>
      <c r="T29" s="29">
        <f t="shared" si="4"/>
        <v>0.57735026918962784</v>
      </c>
      <c r="U29" s="29">
        <f t="shared" si="4"/>
        <v>0.57735026918962629</v>
      </c>
      <c r="V29" s="29">
        <f t="shared" si="4"/>
        <v>0.57735026918962473</v>
      </c>
      <c r="W29" s="29">
        <f t="shared" si="4"/>
        <v>2.0816659994661326</v>
      </c>
      <c r="X29" s="29">
        <f t="shared" si="4"/>
        <v>0</v>
      </c>
      <c r="Y29" s="29">
        <f t="shared" si="4"/>
        <v>0</v>
      </c>
      <c r="Z29" s="29">
        <f t="shared" si="4"/>
        <v>0.57735026918962473</v>
      </c>
      <c r="AA29" s="29">
        <f t="shared" si="4"/>
        <v>2</v>
      </c>
      <c r="AB29" s="38">
        <f>IFERROR(AVERAGE(H29:AA29),"—")</f>
        <v>0.8086600614336954</v>
      </c>
    </row>
    <row r="30" spans="2:30" ht="19.5" customHeight="1" x14ac:dyDescent="0.25">
      <c r="B30" s="110" t="s">
        <v>121</v>
      </c>
      <c r="C30" s="110"/>
      <c r="D30" s="110"/>
      <c r="E30" s="110"/>
      <c r="F30" s="110"/>
      <c r="G30" s="110"/>
      <c r="H30" s="39">
        <f>IFERROR(_xlfn.MINIFS(H6:H25,H6:H25,"&gt;=1"),"—")</f>
        <v>2</v>
      </c>
      <c r="I30" s="39">
        <f t="shared" ref="I30:AA30" si="5">IFERROR(_xlfn.MINIFS(I6:I25,I6:I25,"&gt;=1"),"—")</f>
        <v>4</v>
      </c>
      <c r="J30" s="39">
        <f t="shared" si="5"/>
        <v>4</v>
      </c>
      <c r="K30" s="39">
        <f t="shared" si="5"/>
        <v>3</v>
      </c>
      <c r="L30" s="39">
        <f t="shared" si="5"/>
        <v>2</v>
      </c>
      <c r="M30" s="39">
        <f t="shared" si="5"/>
        <v>5</v>
      </c>
      <c r="N30" s="39">
        <f t="shared" si="5"/>
        <v>5</v>
      </c>
      <c r="O30" s="39">
        <f t="shared" si="5"/>
        <v>3</v>
      </c>
      <c r="P30" s="39">
        <f t="shared" si="5"/>
        <v>3</v>
      </c>
      <c r="Q30" s="39">
        <f t="shared" si="5"/>
        <v>4</v>
      </c>
      <c r="R30" s="39">
        <f t="shared" si="5"/>
        <v>1</v>
      </c>
      <c r="S30" s="39">
        <f t="shared" si="5"/>
        <v>1</v>
      </c>
      <c r="T30" s="39">
        <f t="shared" si="5"/>
        <v>4</v>
      </c>
      <c r="U30" s="39">
        <f t="shared" si="5"/>
        <v>2</v>
      </c>
      <c r="V30" s="39">
        <f t="shared" si="5"/>
        <v>4</v>
      </c>
      <c r="W30" s="39">
        <f t="shared" si="5"/>
        <v>1</v>
      </c>
      <c r="X30" s="39">
        <f t="shared" si="5"/>
        <v>5</v>
      </c>
      <c r="Y30" s="39">
        <f t="shared" si="5"/>
        <v>5</v>
      </c>
      <c r="Z30" s="39">
        <f t="shared" si="5"/>
        <v>4</v>
      </c>
      <c r="AA30" s="39">
        <f t="shared" si="5"/>
        <v>1</v>
      </c>
      <c r="AB30" s="38">
        <f>IFERROR(AVERAGE(H30:AA30),"—")</f>
        <v>3.15</v>
      </c>
    </row>
    <row r="31" spans="2:30" ht="19.5" customHeight="1" x14ac:dyDescent="0.25">
      <c r="B31" s="110" t="s">
        <v>122</v>
      </c>
      <c r="C31" s="110"/>
      <c r="D31" s="110"/>
      <c r="E31" s="110"/>
      <c r="F31" s="110"/>
      <c r="G31" s="110"/>
      <c r="H31" s="29">
        <f t="shared" ref="H31:AA31" si="6">IFERROR(MAX(H6:H25),"—")</f>
        <v>4</v>
      </c>
      <c r="I31" s="29">
        <f t="shared" si="6"/>
        <v>5</v>
      </c>
      <c r="J31" s="29">
        <f t="shared" si="6"/>
        <v>5</v>
      </c>
      <c r="K31" s="29">
        <f t="shared" si="6"/>
        <v>4</v>
      </c>
      <c r="L31" s="29">
        <f t="shared" si="6"/>
        <v>4</v>
      </c>
      <c r="M31" s="29">
        <f t="shared" si="6"/>
        <v>5</v>
      </c>
      <c r="N31" s="29">
        <f t="shared" si="6"/>
        <v>5</v>
      </c>
      <c r="O31" s="29">
        <f t="shared" si="6"/>
        <v>5</v>
      </c>
      <c r="P31" s="29">
        <f t="shared" si="6"/>
        <v>3</v>
      </c>
      <c r="Q31" s="29">
        <f t="shared" si="6"/>
        <v>5</v>
      </c>
      <c r="R31" s="29">
        <f t="shared" si="6"/>
        <v>5</v>
      </c>
      <c r="S31" s="29">
        <f t="shared" si="6"/>
        <v>5</v>
      </c>
      <c r="T31" s="29">
        <f t="shared" si="6"/>
        <v>5</v>
      </c>
      <c r="U31" s="29">
        <f t="shared" si="6"/>
        <v>3</v>
      </c>
      <c r="V31" s="29">
        <f t="shared" si="6"/>
        <v>5</v>
      </c>
      <c r="W31" s="29">
        <f t="shared" si="6"/>
        <v>5</v>
      </c>
      <c r="X31" s="29">
        <f t="shared" si="6"/>
        <v>5</v>
      </c>
      <c r="Y31" s="29">
        <f t="shared" si="6"/>
        <v>5</v>
      </c>
      <c r="Z31" s="29">
        <f t="shared" si="6"/>
        <v>5</v>
      </c>
      <c r="AA31" s="29">
        <f t="shared" si="6"/>
        <v>5</v>
      </c>
      <c r="AB31" s="38">
        <f>IFERROR(AVERAGE(H31:AA31),"—")</f>
        <v>4.6500000000000004</v>
      </c>
    </row>
    <row r="32" spans="2:30" ht="19.5" customHeight="1" x14ac:dyDescent="0.25">
      <c r="B32" s="111" t="s">
        <v>123</v>
      </c>
      <c r="C32" s="111"/>
      <c r="D32" s="111"/>
      <c r="E32" s="111"/>
      <c r="F32" s="111"/>
      <c r="G32" s="111"/>
      <c r="H32" s="40">
        <f t="shared" ref="H32:AA32" si="7">IFERROR(COUNTIF(H6:H25,"&gt;=4")/COUNTIF(H6:H25,"&gt;=1"),"—")</f>
        <v>0.33333333333333331</v>
      </c>
      <c r="I32" s="40">
        <f t="shared" si="7"/>
        <v>1</v>
      </c>
      <c r="J32" s="40">
        <f t="shared" si="7"/>
        <v>1</v>
      </c>
      <c r="K32" s="40">
        <f t="shared" si="7"/>
        <v>0.66666666666666663</v>
      </c>
      <c r="L32" s="40">
        <f t="shared" si="7"/>
        <v>0.33333333333333331</v>
      </c>
      <c r="M32" s="40">
        <f t="shared" si="7"/>
        <v>1</v>
      </c>
      <c r="N32" s="40">
        <f t="shared" si="7"/>
        <v>1</v>
      </c>
      <c r="O32" s="40">
        <f t="shared" si="7"/>
        <v>0.33333333333333331</v>
      </c>
      <c r="P32" s="40">
        <f t="shared" si="7"/>
        <v>0</v>
      </c>
      <c r="Q32" s="40">
        <f t="shared" si="7"/>
        <v>1</v>
      </c>
      <c r="R32" s="40">
        <f t="shared" si="7"/>
        <v>0.66666666666666663</v>
      </c>
      <c r="S32" s="40">
        <f t="shared" si="7"/>
        <v>0.66666666666666663</v>
      </c>
      <c r="T32" s="40">
        <f t="shared" si="7"/>
        <v>1</v>
      </c>
      <c r="U32" s="40">
        <f t="shared" si="7"/>
        <v>0</v>
      </c>
      <c r="V32" s="40">
        <f t="shared" si="7"/>
        <v>1</v>
      </c>
      <c r="W32" s="40">
        <f t="shared" si="7"/>
        <v>0.66666666666666663</v>
      </c>
      <c r="X32" s="40">
        <f t="shared" si="7"/>
        <v>1</v>
      </c>
      <c r="Y32" s="40">
        <f t="shared" si="7"/>
        <v>1</v>
      </c>
      <c r="Z32" s="40">
        <f t="shared" si="7"/>
        <v>1</v>
      </c>
      <c r="AA32" s="40">
        <f t="shared" si="7"/>
        <v>0.33333333333333331</v>
      </c>
      <c r="AB32" s="41">
        <f>IFERROR(AVERAGE(H32:AA32),"—")</f>
        <v>0.7</v>
      </c>
    </row>
  </sheetData>
  <mergeCells count="10">
    <mergeCell ref="B2:AD2"/>
    <mergeCell ref="H3:L3"/>
    <mergeCell ref="M3:Q3"/>
    <mergeCell ref="R3:V3"/>
    <mergeCell ref="W3:AA3"/>
    <mergeCell ref="B28:G28"/>
    <mergeCell ref="B29:G29"/>
    <mergeCell ref="B30:G30"/>
    <mergeCell ref="B31:G31"/>
    <mergeCell ref="B32:G32"/>
  </mergeCells>
  <dataValidations count="1">
    <dataValidation type="whole" errorTitle="Valor inválido" error="Solo valores del 1 al 5" promptTitle="Escala Likert" prompt="Ingrese 1, 2, 3, 4 o 5" sqref="H6:AA25" xr:uid="{00000000-0002-0000-02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D32"/>
  <sheetViews>
    <sheetView zoomScaleNormal="100" workbookViewId="0">
      <pane xSplit="7" ySplit="5" topLeftCell="R6" activePane="bottomRight" state="frozen"/>
      <selection pane="topRight" activeCell="H1" sqref="H1"/>
      <selection pane="bottomLeft" activeCell="A6" sqref="A6"/>
      <selection pane="bottomRight" activeCell="V5" sqref="V5"/>
    </sheetView>
  </sheetViews>
  <sheetFormatPr baseColWidth="10" defaultColWidth="8.7109375" defaultRowHeight="15" x14ac:dyDescent="0.25"/>
  <cols>
    <col min="1" max="1" width="3" customWidth="1"/>
    <col min="2" max="3" width="12" customWidth="1"/>
    <col min="4" max="4" width="8" customWidth="1"/>
    <col min="5" max="5" width="10" customWidth="1"/>
    <col min="6" max="6" width="30.42578125" bestFit="1" customWidth="1"/>
    <col min="7" max="7" width="33" bestFit="1" customWidth="1"/>
    <col min="8" max="27" width="6" customWidth="1"/>
    <col min="28" max="29" width="9" customWidth="1"/>
    <col min="30" max="30" width="7" customWidth="1"/>
  </cols>
  <sheetData>
    <row r="1" spans="2:30" ht="9.75" customHeight="1" x14ac:dyDescent="0.25"/>
    <row r="2" spans="2:30" ht="36" customHeight="1" x14ac:dyDescent="0.25">
      <c r="B2" s="117" t="s">
        <v>148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</row>
    <row r="3" spans="2:30" ht="21.75" customHeight="1" x14ac:dyDescent="0.25">
      <c r="H3" s="118" t="s">
        <v>149</v>
      </c>
      <c r="I3" s="118"/>
      <c r="J3" s="118"/>
      <c r="K3" s="118"/>
      <c r="L3" s="118"/>
      <c r="M3" s="118" t="s">
        <v>150</v>
      </c>
      <c r="N3" s="118"/>
      <c r="O3" s="118"/>
      <c r="P3" s="118"/>
      <c r="Q3" s="118"/>
      <c r="R3" s="118" t="s">
        <v>151</v>
      </c>
      <c r="S3" s="118"/>
      <c r="T3" s="118"/>
      <c r="U3" s="118"/>
      <c r="V3" s="118"/>
      <c r="W3" s="118" t="s">
        <v>152</v>
      </c>
      <c r="X3" s="118"/>
      <c r="Y3" s="118"/>
      <c r="Z3" s="118"/>
      <c r="AA3" s="118"/>
    </row>
    <row r="4" spans="2:30" ht="51.75" customHeight="1" x14ac:dyDescent="0.25">
      <c r="B4" s="42" t="s">
        <v>50</v>
      </c>
      <c r="C4" s="42" t="s">
        <v>51</v>
      </c>
      <c r="D4" s="42" t="s">
        <v>52</v>
      </c>
      <c r="E4" s="42" t="s">
        <v>53</v>
      </c>
      <c r="F4" s="42" t="s">
        <v>258</v>
      </c>
      <c r="G4" s="42" t="s">
        <v>54</v>
      </c>
      <c r="H4" s="42" t="s">
        <v>55</v>
      </c>
      <c r="I4" s="42" t="s">
        <v>56</v>
      </c>
      <c r="J4" s="42" t="s">
        <v>57</v>
      </c>
      <c r="K4" s="42" t="s">
        <v>58</v>
      </c>
      <c r="L4" s="42" t="s">
        <v>59</v>
      </c>
      <c r="M4" s="42" t="s">
        <v>60</v>
      </c>
      <c r="N4" s="42" t="s">
        <v>61</v>
      </c>
      <c r="O4" s="42" t="s">
        <v>62</v>
      </c>
      <c r="P4" s="42" t="s">
        <v>63</v>
      </c>
      <c r="Q4" s="42" t="s">
        <v>64</v>
      </c>
      <c r="R4" s="42" t="s">
        <v>65</v>
      </c>
      <c r="S4" s="42" t="s">
        <v>66</v>
      </c>
      <c r="T4" s="42" t="s">
        <v>67</v>
      </c>
      <c r="U4" s="42" t="s">
        <v>68</v>
      </c>
      <c r="V4" s="42" t="s">
        <v>69</v>
      </c>
      <c r="W4" s="42" t="s">
        <v>70</v>
      </c>
      <c r="X4" s="42" t="s">
        <v>71</v>
      </c>
      <c r="Y4" s="42" t="s">
        <v>72</v>
      </c>
      <c r="Z4" s="42" t="s">
        <v>73</v>
      </c>
      <c r="AA4" s="42" t="s">
        <v>74</v>
      </c>
      <c r="AB4" s="16" t="s">
        <v>75</v>
      </c>
      <c r="AC4" s="16" t="s">
        <v>76</v>
      </c>
      <c r="AD4" s="16" t="s">
        <v>77</v>
      </c>
    </row>
    <row r="5" spans="2:30" ht="79.5" customHeight="1" x14ac:dyDescent="0.25">
      <c r="B5" s="17"/>
      <c r="C5" s="17"/>
      <c r="D5" s="17"/>
      <c r="E5" s="17"/>
      <c r="F5" s="17"/>
      <c r="G5" s="17"/>
      <c r="H5" s="101" t="s">
        <v>414</v>
      </c>
      <c r="I5" s="43" t="s">
        <v>79</v>
      </c>
      <c r="J5" s="101" t="s">
        <v>80</v>
      </c>
      <c r="K5" s="101" t="s">
        <v>355</v>
      </c>
      <c r="L5" s="43" t="s">
        <v>407</v>
      </c>
      <c r="M5" s="101" t="s">
        <v>83</v>
      </c>
      <c r="N5" s="101" t="s">
        <v>84</v>
      </c>
      <c r="O5" s="101" t="s">
        <v>85</v>
      </c>
      <c r="P5" s="101" t="s">
        <v>86</v>
      </c>
      <c r="Q5" s="101" t="s">
        <v>87</v>
      </c>
      <c r="R5" s="101" t="s">
        <v>88</v>
      </c>
      <c r="S5" s="101" t="s">
        <v>89</v>
      </c>
      <c r="T5" s="101" t="s">
        <v>90</v>
      </c>
      <c r="U5" s="101" t="s">
        <v>91</v>
      </c>
      <c r="V5" s="101" t="s">
        <v>92</v>
      </c>
      <c r="W5" s="101" t="s">
        <v>93</v>
      </c>
      <c r="X5" s="101" t="s">
        <v>94</v>
      </c>
      <c r="Y5" s="101" t="s">
        <v>95</v>
      </c>
      <c r="Z5" s="101" t="s">
        <v>96</v>
      </c>
      <c r="AA5" s="101" t="s">
        <v>97</v>
      </c>
      <c r="AB5" s="19" t="s">
        <v>98</v>
      </c>
      <c r="AC5" s="19" t="s">
        <v>98</v>
      </c>
      <c r="AD5" s="19" t="s">
        <v>98</v>
      </c>
    </row>
    <row r="6" spans="2:30" ht="18" customHeight="1" x14ac:dyDescent="0.25">
      <c r="B6" s="20" t="s">
        <v>153</v>
      </c>
      <c r="C6" s="85">
        <v>45940</v>
      </c>
      <c r="D6" s="21">
        <v>25</v>
      </c>
      <c r="E6" s="21" t="s">
        <v>260</v>
      </c>
      <c r="F6" s="21" t="s">
        <v>261</v>
      </c>
      <c r="G6" s="21" t="s">
        <v>262</v>
      </c>
      <c r="H6" s="22">
        <v>5</v>
      </c>
      <c r="I6" s="22">
        <v>4</v>
      </c>
      <c r="J6" s="22">
        <v>5</v>
      </c>
      <c r="K6" s="22">
        <v>3</v>
      </c>
      <c r="L6" s="22">
        <v>1</v>
      </c>
      <c r="M6" s="22">
        <v>2</v>
      </c>
      <c r="N6" s="22">
        <v>2</v>
      </c>
      <c r="O6" s="22">
        <v>4</v>
      </c>
      <c r="P6" s="22">
        <v>4</v>
      </c>
      <c r="Q6" s="22">
        <v>3</v>
      </c>
      <c r="R6" s="22">
        <v>4</v>
      </c>
      <c r="S6" s="22">
        <v>4</v>
      </c>
      <c r="T6" s="22">
        <v>5</v>
      </c>
      <c r="U6" s="22">
        <v>4</v>
      </c>
      <c r="V6" s="22">
        <v>5</v>
      </c>
      <c r="W6" s="22">
        <v>4</v>
      </c>
      <c r="X6" s="22">
        <v>5</v>
      </c>
      <c r="Y6" s="22">
        <v>4</v>
      </c>
      <c r="Z6" s="22">
        <v>4</v>
      </c>
      <c r="AA6" s="22">
        <v>1</v>
      </c>
      <c r="AB6" s="44">
        <f t="shared" ref="AB6:AB25" si="0">IFERROR(AVERAGEIF(H6:AA6,"&gt;=1"),"—")</f>
        <v>3.65</v>
      </c>
      <c r="AC6" s="45">
        <f t="shared" ref="AC6:AC25" si="1">IFERROR(STDEV(H6:AA6),"—")</f>
        <v>1.2680278927697552</v>
      </c>
      <c r="AD6" s="45">
        <f t="shared" ref="AD6:AD25" si="2">COUNTIF(H6:AA6,"&gt;=1")</f>
        <v>20</v>
      </c>
    </row>
    <row r="7" spans="2:30" ht="18" customHeight="1" x14ac:dyDescent="0.25">
      <c r="B7" s="25" t="s">
        <v>154</v>
      </c>
      <c r="C7" s="84">
        <v>46081</v>
      </c>
      <c r="D7" s="26">
        <v>22</v>
      </c>
      <c r="E7" s="26" t="s">
        <v>252</v>
      </c>
      <c r="F7" s="26" t="s">
        <v>263</v>
      </c>
      <c r="G7" s="26" t="s">
        <v>264</v>
      </c>
      <c r="H7" s="22">
        <v>3</v>
      </c>
      <c r="I7" s="22">
        <v>3</v>
      </c>
      <c r="J7" s="22">
        <v>5</v>
      </c>
      <c r="K7" s="22">
        <v>5</v>
      </c>
      <c r="L7" s="22">
        <v>2</v>
      </c>
      <c r="M7" s="22">
        <v>3</v>
      </c>
      <c r="N7" s="22">
        <v>4</v>
      </c>
      <c r="O7" s="22">
        <v>3</v>
      </c>
      <c r="P7" s="22">
        <v>4</v>
      </c>
      <c r="Q7" s="22">
        <v>4</v>
      </c>
      <c r="R7" s="22">
        <v>3</v>
      </c>
      <c r="S7" s="22">
        <v>3</v>
      </c>
      <c r="T7" s="22">
        <v>5</v>
      </c>
      <c r="U7" s="22">
        <v>3</v>
      </c>
      <c r="V7" s="22">
        <v>5</v>
      </c>
      <c r="W7" s="22">
        <v>3</v>
      </c>
      <c r="X7" s="22">
        <v>5</v>
      </c>
      <c r="Y7" s="22">
        <v>3</v>
      </c>
      <c r="Z7" s="22">
        <v>3</v>
      </c>
      <c r="AA7" s="22">
        <v>2</v>
      </c>
      <c r="AB7" s="44">
        <f t="shared" si="0"/>
        <v>3.55</v>
      </c>
      <c r="AC7" s="45">
        <f t="shared" si="1"/>
        <v>0.99868334373445466</v>
      </c>
      <c r="AD7" s="45">
        <f t="shared" si="2"/>
        <v>20</v>
      </c>
    </row>
    <row r="8" spans="2:30" ht="18" customHeight="1" x14ac:dyDescent="0.25">
      <c r="B8" s="20" t="s">
        <v>155</v>
      </c>
      <c r="C8" s="85">
        <v>45658</v>
      </c>
      <c r="D8" s="21">
        <v>27</v>
      </c>
      <c r="E8" s="86" t="s">
        <v>252</v>
      </c>
      <c r="F8" s="26" t="s">
        <v>265</v>
      </c>
      <c r="G8" s="86" t="s">
        <v>266</v>
      </c>
      <c r="H8" s="22">
        <v>4</v>
      </c>
      <c r="I8" s="22">
        <v>3</v>
      </c>
      <c r="J8" s="22">
        <v>5</v>
      </c>
      <c r="K8" s="22">
        <v>4</v>
      </c>
      <c r="L8" s="22">
        <v>1</v>
      </c>
      <c r="M8" s="22">
        <v>3</v>
      </c>
      <c r="N8" s="22">
        <v>5</v>
      </c>
      <c r="O8" s="22">
        <v>4</v>
      </c>
      <c r="P8" s="22">
        <v>5</v>
      </c>
      <c r="Q8" s="22">
        <v>3</v>
      </c>
      <c r="R8" s="22">
        <v>5</v>
      </c>
      <c r="S8" s="22">
        <v>5</v>
      </c>
      <c r="T8" s="22">
        <v>5</v>
      </c>
      <c r="U8" s="22">
        <v>3</v>
      </c>
      <c r="V8" s="22">
        <v>5</v>
      </c>
      <c r="W8" s="22">
        <v>3</v>
      </c>
      <c r="X8" s="22">
        <v>5</v>
      </c>
      <c r="Y8" s="22">
        <v>3</v>
      </c>
      <c r="Z8" s="22">
        <v>5</v>
      </c>
      <c r="AA8" s="22">
        <v>3</v>
      </c>
      <c r="AB8" s="44">
        <f t="shared" si="0"/>
        <v>3.95</v>
      </c>
      <c r="AC8" s="45">
        <f t="shared" si="1"/>
        <v>1.1459310165698637</v>
      </c>
      <c r="AD8" s="45">
        <f t="shared" si="2"/>
        <v>20</v>
      </c>
    </row>
    <row r="9" spans="2:30" ht="18" customHeight="1" x14ac:dyDescent="0.25">
      <c r="B9" s="25" t="s">
        <v>156</v>
      </c>
      <c r="C9" s="84">
        <v>45982</v>
      </c>
      <c r="D9" s="26">
        <v>23</v>
      </c>
      <c r="E9" s="26" t="s">
        <v>260</v>
      </c>
      <c r="F9" s="26" t="s">
        <v>267</v>
      </c>
      <c r="G9" s="26" t="s">
        <v>268</v>
      </c>
      <c r="H9" s="22">
        <v>5</v>
      </c>
      <c r="I9" s="22">
        <v>5</v>
      </c>
      <c r="J9" s="22">
        <v>5</v>
      </c>
      <c r="K9" s="22">
        <v>5</v>
      </c>
      <c r="L9" s="22">
        <v>2</v>
      </c>
      <c r="M9" s="22">
        <v>2</v>
      </c>
      <c r="N9" s="22">
        <v>4</v>
      </c>
      <c r="O9" s="22">
        <v>3</v>
      </c>
      <c r="P9" s="22">
        <v>3</v>
      </c>
      <c r="Q9" s="22">
        <v>4</v>
      </c>
      <c r="R9" s="22">
        <v>2</v>
      </c>
      <c r="S9" s="22">
        <v>2</v>
      </c>
      <c r="T9" s="22">
        <v>3</v>
      </c>
      <c r="U9" s="22">
        <v>3</v>
      </c>
      <c r="V9" s="22">
        <v>4</v>
      </c>
      <c r="W9" s="22">
        <v>2</v>
      </c>
      <c r="X9" s="22">
        <v>4</v>
      </c>
      <c r="Y9" s="22">
        <v>4</v>
      </c>
      <c r="Z9" s="22">
        <v>3</v>
      </c>
      <c r="AA9" s="22">
        <v>2</v>
      </c>
      <c r="AB9" s="44">
        <f t="shared" si="0"/>
        <v>3.35</v>
      </c>
      <c r="AC9" s="45">
        <f t="shared" si="1"/>
        <v>1.1367080817685318</v>
      </c>
      <c r="AD9" s="45">
        <f t="shared" si="2"/>
        <v>20</v>
      </c>
    </row>
    <row r="10" spans="2:30" ht="18" customHeight="1" x14ac:dyDescent="0.25">
      <c r="B10" s="20" t="s">
        <v>157</v>
      </c>
      <c r="C10" s="21"/>
      <c r="D10" s="21"/>
      <c r="E10" s="21"/>
      <c r="F10" s="21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44" t="str">
        <f t="shared" si="0"/>
        <v>—</v>
      </c>
      <c r="AC10" s="45" t="str">
        <f t="shared" si="1"/>
        <v>—</v>
      </c>
      <c r="AD10" s="45">
        <f t="shared" si="2"/>
        <v>0</v>
      </c>
    </row>
    <row r="11" spans="2:30" ht="18" customHeight="1" x14ac:dyDescent="0.25">
      <c r="B11" s="25" t="s">
        <v>158</v>
      </c>
      <c r="C11" s="26"/>
      <c r="D11" s="26"/>
      <c r="E11" s="26"/>
      <c r="F11" s="26"/>
      <c r="G11" s="26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44" t="str">
        <f t="shared" si="0"/>
        <v>—</v>
      </c>
      <c r="AC11" s="45" t="str">
        <f t="shared" si="1"/>
        <v>—</v>
      </c>
      <c r="AD11" s="45">
        <f t="shared" si="2"/>
        <v>0</v>
      </c>
    </row>
    <row r="12" spans="2:30" ht="18" customHeight="1" x14ac:dyDescent="0.25">
      <c r="B12" s="20" t="s">
        <v>159</v>
      </c>
      <c r="C12" s="21"/>
      <c r="D12" s="21"/>
      <c r="E12" s="21"/>
      <c r="F12" s="21"/>
      <c r="G12" s="2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44" t="str">
        <f t="shared" si="0"/>
        <v>—</v>
      </c>
      <c r="AC12" s="45" t="str">
        <f t="shared" si="1"/>
        <v>—</v>
      </c>
      <c r="AD12" s="45">
        <f t="shared" si="2"/>
        <v>0</v>
      </c>
    </row>
    <row r="13" spans="2:30" ht="18" customHeight="1" x14ac:dyDescent="0.25">
      <c r="B13" s="25" t="s">
        <v>160</v>
      </c>
      <c r="C13" s="26"/>
      <c r="D13" s="26"/>
      <c r="E13" s="26"/>
      <c r="F13" s="26"/>
      <c r="G13" s="26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44" t="str">
        <f t="shared" si="0"/>
        <v>—</v>
      </c>
      <c r="AC13" s="45" t="str">
        <f t="shared" si="1"/>
        <v>—</v>
      </c>
      <c r="AD13" s="45">
        <f t="shared" si="2"/>
        <v>0</v>
      </c>
    </row>
    <row r="14" spans="2:30" ht="18" customHeight="1" x14ac:dyDescent="0.25">
      <c r="B14" s="20" t="s">
        <v>161</v>
      </c>
      <c r="C14" s="21"/>
      <c r="D14" s="21"/>
      <c r="E14" s="21"/>
      <c r="F14" s="21"/>
      <c r="G14" s="2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44" t="str">
        <f t="shared" si="0"/>
        <v>—</v>
      </c>
      <c r="AC14" s="45" t="str">
        <f t="shared" si="1"/>
        <v>—</v>
      </c>
      <c r="AD14" s="45">
        <f t="shared" si="2"/>
        <v>0</v>
      </c>
    </row>
    <row r="15" spans="2:30" ht="18" customHeight="1" x14ac:dyDescent="0.25">
      <c r="B15" s="25" t="s">
        <v>162</v>
      </c>
      <c r="C15" s="26"/>
      <c r="D15" s="26"/>
      <c r="E15" s="26"/>
      <c r="F15" s="26"/>
      <c r="G15" s="26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44" t="str">
        <f t="shared" si="0"/>
        <v>—</v>
      </c>
      <c r="AC15" s="45" t="str">
        <f t="shared" si="1"/>
        <v>—</v>
      </c>
      <c r="AD15" s="45">
        <f t="shared" si="2"/>
        <v>0</v>
      </c>
    </row>
    <row r="16" spans="2:30" ht="18" customHeight="1" x14ac:dyDescent="0.25">
      <c r="B16" s="20" t="s">
        <v>163</v>
      </c>
      <c r="C16" s="21"/>
      <c r="D16" s="21"/>
      <c r="E16" s="21"/>
      <c r="F16" s="21"/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44" t="str">
        <f t="shared" si="0"/>
        <v>—</v>
      </c>
      <c r="AC16" s="45" t="str">
        <f t="shared" si="1"/>
        <v>—</v>
      </c>
      <c r="AD16" s="45">
        <f t="shared" si="2"/>
        <v>0</v>
      </c>
    </row>
    <row r="17" spans="2:30" ht="18" customHeight="1" x14ac:dyDescent="0.25">
      <c r="B17" s="25" t="s">
        <v>164</v>
      </c>
      <c r="C17" s="26"/>
      <c r="D17" s="26"/>
      <c r="E17" s="26"/>
      <c r="F17" s="26"/>
      <c r="G17" s="26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44" t="str">
        <f t="shared" si="0"/>
        <v>—</v>
      </c>
      <c r="AC17" s="45" t="str">
        <f t="shared" si="1"/>
        <v>—</v>
      </c>
      <c r="AD17" s="45">
        <f t="shared" si="2"/>
        <v>0</v>
      </c>
    </row>
    <row r="18" spans="2:30" ht="18" customHeight="1" x14ac:dyDescent="0.25">
      <c r="B18" s="20" t="s">
        <v>165</v>
      </c>
      <c r="C18" s="21"/>
      <c r="D18" s="21"/>
      <c r="E18" s="21"/>
      <c r="F18" s="21"/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44" t="str">
        <f t="shared" si="0"/>
        <v>—</v>
      </c>
      <c r="AC18" s="45" t="str">
        <f t="shared" si="1"/>
        <v>—</v>
      </c>
      <c r="AD18" s="45">
        <f t="shared" si="2"/>
        <v>0</v>
      </c>
    </row>
    <row r="19" spans="2:30" ht="18" customHeight="1" x14ac:dyDescent="0.25">
      <c r="B19" s="25" t="s">
        <v>166</v>
      </c>
      <c r="C19" s="26"/>
      <c r="D19" s="26"/>
      <c r="E19" s="26"/>
      <c r="F19" s="26"/>
      <c r="G19" s="26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44" t="str">
        <f t="shared" si="0"/>
        <v>—</v>
      </c>
      <c r="AC19" s="45" t="str">
        <f t="shared" si="1"/>
        <v>—</v>
      </c>
      <c r="AD19" s="45">
        <f t="shared" si="2"/>
        <v>0</v>
      </c>
    </row>
    <row r="20" spans="2:30" ht="18" customHeight="1" x14ac:dyDescent="0.25">
      <c r="B20" s="20" t="s">
        <v>167</v>
      </c>
      <c r="C20" s="21"/>
      <c r="D20" s="21"/>
      <c r="E20" s="21"/>
      <c r="F20" s="21"/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44" t="str">
        <f t="shared" si="0"/>
        <v>—</v>
      </c>
      <c r="AC20" s="45" t="str">
        <f t="shared" si="1"/>
        <v>—</v>
      </c>
      <c r="AD20" s="45">
        <f t="shared" si="2"/>
        <v>0</v>
      </c>
    </row>
    <row r="21" spans="2:30" ht="18" customHeight="1" x14ac:dyDescent="0.25">
      <c r="B21" s="25" t="s">
        <v>168</v>
      </c>
      <c r="C21" s="26"/>
      <c r="D21" s="26"/>
      <c r="E21" s="26"/>
      <c r="F21" s="26"/>
      <c r="G21" s="26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44" t="str">
        <f t="shared" si="0"/>
        <v>—</v>
      </c>
      <c r="AC21" s="45" t="str">
        <f t="shared" si="1"/>
        <v>—</v>
      </c>
      <c r="AD21" s="45">
        <f t="shared" si="2"/>
        <v>0</v>
      </c>
    </row>
    <row r="22" spans="2:30" ht="18" customHeight="1" x14ac:dyDescent="0.25">
      <c r="B22" s="20" t="s">
        <v>169</v>
      </c>
      <c r="C22" s="21"/>
      <c r="D22" s="21"/>
      <c r="E22" s="21"/>
      <c r="F22" s="21"/>
      <c r="G22" s="21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44" t="str">
        <f t="shared" si="0"/>
        <v>—</v>
      </c>
      <c r="AC22" s="45" t="str">
        <f t="shared" si="1"/>
        <v>—</v>
      </c>
      <c r="AD22" s="45">
        <f t="shared" si="2"/>
        <v>0</v>
      </c>
    </row>
    <row r="23" spans="2:30" ht="18" customHeight="1" x14ac:dyDescent="0.25">
      <c r="B23" s="25" t="s">
        <v>170</v>
      </c>
      <c r="C23" s="26"/>
      <c r="D23" s="26"/>
      <c r="E23" s="26"/>
      <c r="F23" s="26"/>
      <c r="G23" s="26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44" t="str">
        <f t="shared" si="0"/>
        <v>—</v>
      </c>
      <c r="AC23" s="45" t="str">
        <f t="shared" si="1"/>
        <v>—</v>
      </c>
      <c r="AD23" s="45">
        <f t="shared" si="2"/>
        <v>0</v>
      </c>
    </row>
    <row r="24" spans="2:30" ht="18" customHeight="1" x14ac:dyDescent="0.25">
      <c r="B24" s="20" t="s">
        <v>171</v>
      </c>
      <c r="C24" s="21"/>
      <c r="D24" s="21"/>
      <c r="E24" s="21"/>
      <c r="F24" s="21"/>
      <c r="G24" s="21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44" t="str">
        <f t="shared" si="0"/>
        <v>—</v>
      </c>
      <c r="AC24" s="45" t="str">
        <f t="shared" si="1"/>
        <v>—</v>
      </c>
      <c r="AD24" s="45">
        <f t="shared" si="2"/>
        <v>0</v>
      </c>
    </row>
    <row r="25" spans="2:30" ht="18" customHeight="1" x14ac:dyDescent="0.25">
      <c r="B25" s="25" t="s">
        <v>172</v>
      </c>
      <c r="C25" s="26"/>
      <c r="D25" s="26"/>
      <c r="E25" s="26"/>
      <c r="F25" s="26"/>
      <c r="G25" s="26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44" t="str">
        <f t="shared" si="0"/>
        <v>—</v>
      </c>
      <c r="AC25" s="45" t="str">
        <f t="shared" si="1"/>
        <v>—</v>
      </c>
      <c r="AD25" s="45">
        <f t="shared" si="2"/>
        <v>0</v>
      </c>
    </row>
    <row r="27" spans="2:30" ht="7.5" customHeight="1" x14ac:dyDescent="0.25"/>
    <row r="28" spans="2:30" ht="19.5" customHeight="1" x14ac:dyDescent="0.25">
      <c r="B28" s="108" t="s">
        <v>119</v>
      </c>
      <c r="C28" s="108"/>
      <c r="D28" s="108"/>
      <c r="E28" s="108"/>
      <c r="F28" s="108"/>
      <c r="G28" s="108"/>
      <c r="H28" s="46">
        <f t="shared" ref="H28:AA28" si="3">IFERROR(AVERAGEIF(H6:H25,"&gt;=1"), "—")</f>
        <v>4.25</v>
      </c>
      <c r="I28" s="46">
        <f t="shared" si="3"/>
        <v>3.75</v>
      </c>
      <c r="J28" s="46">
        <f t="shared" si="3"/>
        <v>5</v>
      </c>
      <c r="K28" s="46">
        <f t="shared" si="3"/>
        <v>4.25</v>
      </c>
      <c r="L28" s="46">
        <f t="shared" si="3"/>
        <v>1.5</v>
      </c>
      <c r="M28" s="46">
        <f t="shared" si="3"/>
        <v>2.5</v>
      </c>
      <c r="N28" s="46">
        <f t="shared" si="3"/>
        <v>3.75</v>
      </c>
      <c r="O28" s="46">
        <f t="shared" si="3"/>
        <v>3.5</v>
      </c>
      <c r="P28" s="46">
        <f t="shared" si="3"/>
        <v>4</v>
      </c>
      <c r="Q28" s="46">
        <f t="shared" si="3"/>
        <v>3.5</v>
      </c>
      <c r="R28" s="46">
        <f t="shared" si="3"/>
        <v>3.5</v>
      </c>
      <c r="S28" s="46">
        <f t="shared" si="3"/>
        <v>3.5</v>
      </c>
      <c r="T28" s="46">
        <f t="shared" si="3"/>
        <v>4.5</v>
      </c>
      <c r="U28" s="46">
        <f t="shared" si="3"/>
        <v>3.25</v>
      </c>
      <c r="V28" s="46">
        <f t="shared" si="3"/>
        <v>4.75</v>
      </c>
      <c r="W28" s="46">
        <f t="shared" si="3"/>
        <v>3</v>
      </c>
      <c r="X28" s="46">
        <f t="shared" si="3"/>
        <v>4.75</v>
      </c>
      <c r="Y28" s="46">
        <f t="shared" si="3"/>
        <v>3.5</v>
      </c>
      <c r="Z28" s="46">
        <f t="shared" si="3"/>
        <v>3.75</v>
      </c>
      <c r="AA28" s="46">
        <f t="shared" si="3"/>
        <v>2</v>
      </c>
      <c r="AB28" s="47">
        <f>IFERROR(AVERAGE(H28:AA28),"—")</f>
        <v>3.625</v>
      </c>
    </row>
    <row r="29" spans="2:30" ht="19.5" customHeight="1" x14ac:dyDescent="0.25">
      <c r="B29" s="109" t="s">
        <v>120</v>
      </c>
      <c r="C29" s="109"/>
      <c r="D29" s="109"/>
      <c r="E29" s="109"/>
      <c r="F29" s="109"/>
      <c r="G29" s="109"/>
      <c r="H29" s="29">
        <f t="shared" ref="H29:AA29" si="4">IFERROR(STDEV(H6:H25),"—")</f>
        <v>0.9574271077563381</v>
      </c>
      <c r="I29" s="29">
        <f t="shared" si="4"/>
        <v>0.9574271077563381</v>
      </c>
      <c r="J29" s="29">
        <f t="shared" si="4"/>
        <v>0</v>
      </c>
      <c r="K29" s="29">
        <f t="shared" si="4"/>
        <v>0.9574271077563381</v>
      </c>
      <c r="L29" s="29">
        <f t="shared" si="4"/>
        <v>0.57735026918962573</v>
      </c>
      <c r="M29" s="29">
        <f t="shared" si="4"/>
        <v>0.57735026918962573</v>
      </c>
      <c r="N29" s="29">
        <f t="shared" si="4"/>
        <v>1.2583057392117916</v>
      </c>
      <c r="O29" s="29">
        <f t="shared" si="4"/>
        <v>0.57735026918962573</v>
      </c>
      <c r="P29" s="29">
        <f t="shared" si="4"/>
        <v>0.81649658092772603</v>
      </c>
      <c r="Q29" s="29">
        <f t="shared" si="4"/>
        <v>0.57735026918962573</v>
      </c>
      <c r="R29" s="29">
        <f t="shared" si="4"/>
        <v>1.2909944487358056</v>
      </c>
      <c r="S29" s="29">
        <f t="shared" si="4"/>
        <v>1.2909944487358056</v>
      </c>
      <c r="T29" s="29">
        <f t="shared" si="4"/>
        <v>1</v>
      </c>
      <c r="U29" s="29">
        <f t="shared" si="4"/>
        <v>0.5</v>
      </c>
      <c r="V29" s="29">
        <f t="shared" si="4"/>
        <v>0.5</v>
      </c>
      <c r="W29" s="29">
        <f t="shared" si="4"/>
        <v>0.81649658092772603</v>
      </c>
      <c r="X29" s="29">
        <f t="shared" si="4"/>
        <v>0.5</v>
      </c>
      <c r="Y29" s="29">
        <f t="shared" si="4"/>
        <v>0.57735026918962573</v>
      </c>
      <c r="Z29" s="29">
        <f t="shared" si="4"/>
        <v>0.9574271077563381</v>
      </c>
      <c r="AA29" s="29">
        <f t="shared" si="4"/>
        <v>0.81649658092772603</v>
      </c>
      <c r="AB29" s="47">
        <f>IFERROR(AVERAGE(H29:AA29),"—")</f>
        <v>0.77531220782200316</v>
      </c>
    </row>
    <row r="30" spans="2:30" ht="19.5" customHeight="1" x14ac:dyDescent="0.25">
      <c r="B30" s="110" t="s">
        <v>121</v>
      </c>
      <c r="C30" s="110"/>
      <c r="D30" s="110"/>
      <c r="E30" s="110"/>
      <c r="F30" s="110"/>
      <c r="G30" s="110"/>
      <c r="H30" s="48">
        <f>IFERROR(_xlfn.MINIFS(H6:H25,H6:H25,"&gt;=1"),"—")</f>
        <v>3</v>
      </c>
      <c r="I30" s="48">
        <f>IFERROR(_xlfn.MINIFS(I6:I25,I6:I25,"&gt;=1"),"—")</f>
        <v>3</v>
      </c>
      <c r="J30" s="48">
        <f t="shared" ref="J30:AA30" si="5">IFERROR(_xlfn.MINIFS(J6:J25,J6:J25,"&gt;=1"),"—")</f>
        <v>5</v>
      </c>
      <c r="K30" s="48">
        <f t="shared" si="5"/>
        <v>3</v>
      </c>
      <c r="L30" s="48">
        <f t="shared" si="5"/>
        <v>1</v>
      </c>
      <c r="M30" s="48">
        <f t="shared" si="5"/>
        <v>2</v>
      </c>
      <c r="N30" s="48">
        <f t="shared" si="5"/>
        <v>2</v>
      </c>
      <c r="O30" s="48">
        <f t="shared" si="5"/>
        <v>3</v>
      </c>
      <c r="P30" s="48">
        <f t="shared" si="5"/>
        <v>3</v>
      </c>
      <c r="Q30" s="48">
        <f t="shared" si="5"/>
        <v>3</v>
      </c>
      <c r="R30" s="48">
        <f t="shared" si="5"/>
        <v>2</v>
      </c>
      <c r="S30" s="48">
        <f t="shared" si="5"/>
        <v>2</v>
      </c>
      <c r="T30" s="48">
        <f t="shared" si="5"/>
        <v>3</v>
      </c>
      <c r="U30" s="48">
        <f t="shared" si="5"/>
        <v>3</v>
      </c>
      <c r="V30" s="48">
        <f t="shared" si="5"/>
        <v>4</v>
      </c>
      <c r="W30" s="48">
        <f t="shared" si="5"/>
        <v>2</v>
      </c>
      <c r="X30" s="48">
        <f t="shared" si="5"/>
        <v>4</v>
      </c>
      <c r="Y30" s="48">
        <f t="shared" si="5"/>
        <v>3</v>
      </c>
      <c r="Z30" s="48">
        <f t="shared" si="5"/>
        <v>3</v>
      </c>
      <c r="AA30" s="48">
        <f t="shared" si="5"/>
        <v>1</v>
      </c>
      <c r="AB30" s="47">
        <f>IFERROR(AVERAGE(H30:AA30),"—")</f>
        <v>2.75</v>
      </c>
    </row>
    <row r="31" spans="2:30" ht="19.5" customHeight="1" x14ac:dyDescent="0.25">
      <c r="B31" s="110" t="s">
        <v>122</v>
      </c>
      <c r="C31" s="110"/>
      <c r="D31" s="110"/>
      <c r="E31" s="110"/>
      <c r="F31" s="110"/>
      <c r="G31" s="110"/>
      <c r="H31" s="29">
        <f t="shared" ref="H31:AA31" si="6">IFERROR(MAX(H6:H25),"—")</f>
        <v>5</v>
      </c>
      <c r="I31" s="29">
        <f t="shared" si="6"/>
        <v>5</v>
      </c>
      <c r="J31" s="29">
        <f t="shared" si="6"/>
        <v>5</v>
      </c>
      <c r="K31" s="29">
        <f t="shared" si="6"/>
        <v>5</v>
      </c>
      <c r="L31" s="29">
        <f t="shared" si="6"/>
        <v>2</v>
      </c>
      <c r="M31" s="29">
        <f t="shared" si="6"/>
        <v>3</v>
      </c>
      <c r="N31" s="29">
        <f t="shared" si="6"/>
        <v>5</v>
      </c>
      <c r="O31" s="29">
        <f t="shared" si="6"/>
        <v>4</v>
      </c>
      <c r="P31" s="29">
        <f t="shared" si="6"/>
        <v>5</v>
      </c>
      <c r="Q31" s="29">
        <f t="shared" si="6"/>
        <v>4</v>
      </c>
      <c r="R31" s="29">
        <f t="shared" si="6"/>
        <v>5</v>
      </c>
      <c r="S31" s="29">
        <f t="shared" si="6"/>
        <v>5</v>
      </c>
      <c r="T31" s="29">
        <f t="shared" si="6"/>
        <v>5</v>
      </c>
      <c r="U31" s="29">
        <f t="shared" si="6"/>
        <v>4</v>
      </c>
      <c r="V31" s="29">
        <f t="shared" si="6"/>
        <v>5</v>
      </c>
      <c r="W31" s="29">
        <f t="shared" si="6"/>
        <v>4</v>
      </c>
      <c r="X31" s="29">
        <f t="shared" si="6"/>
        <v>5</v>
      </c>
      <c r="Y31" s="29">
        <f t="shared" si="6"/>
        <v>4</v>
      </c>
      <c r="Z31" s="29">
        <f t="shared" si="6"/>
        <v>5</v>
      </c>
      <c r="AA31" s="29">
        <f t="shared" si="6"/>
        <v>3</v>
      </c>
      <c r="AB31" s="47">
        <f>IFERROR(AVERAGE(H31:AA31),"—")</f>
        <v>4.4000000000000004</v>
      </c>
    </row>
    <row r="32" spans="2:30" ht="19.5" customHeight="1" x14ac:dyDescent="0.25">
      <c r="B32" s="111" t="s">
        <v>123</v>
      </c>
      <c r="C32" s="111"/>
      <c r="D32" s="111"/>
      <c r="E32" s="111"/>
      <c r="F32" s="111"/>
      <c r="G32" s="111"/>
      <c r="H32" s="49">
        <f t="shared" ref="H32:AA32" si="7">IFERROR(COUNTIF(H6:H25,"&gt;=4")/COUNTIF(H6:H25,"&gt;=1"),"—")</f>
        <v>0.75</v>
      </c>
      <c r="I32" s="49">
        <f t="shared" si="7"/>
        <v>0.5</v>
      </c>
      <c r="J32" s="49">
        <f t="shared" si="7"/>
        <v>1</v>
      </c>
      <c r="K32" s="49">
        <f t="shared" si="7"/>
        <v>0.75</v>
      </c>
      <c r="L32" s="49">
        <f t="shared" si="7"/>
        <v>0</v>
      </c>
      <c r="M32" s="49">
        <f t="shared" si="7"/>
        <v>0</v>
      </c>
      <c r="N32" s="49">
        <f t="shared" si="7"/>
        <v>0.75</v>
      </c>
      <c r="O32" s="49">
        <f t="shared" si="7"/>
        <v>0.5</v>
      </c>
      <c r="P32" s="49">
        <f t="shared" si="7"/>
        <v>0.75</v>
      </c>
      <c r="Q32" s="49">
        <f t="shared" si="7"/>
        <v>0.5</v>
      </c>
      <c r="R32" s="49">
        <f t="shared" si="7"/>
        <v>0.5</v>
      </c>
      <c r="S32" s="49">
        <f t="shared" si="7"/>
        <v>0.5</v>
      </c>
      <c r="T32" s="49">
        <f t="shared" si="7"/>
        <v>0.75</v>
      </c>
      <c r="U32" s="49">
        <f t="shared" si="7"/>
        <v>0.25</v>
      </c>
      <c r="V32" s="49">
        <f t="shared" si="7"/>
        <v>1</v>
      </c>
      <c r="W32" s="49">
        <f t="shared" si="7"/>
        <v>0.25</v>
      </c>
      <c r="X32" s="49">
        <f t="shared" si="7"/>
        <v>1</v>
      </c>
      <c r="Y32" s="49">
        <f t="shared" si="7"/>
        <v>0.5</v>
      </c>
      <c r="Z32" s="49">
        <f t="shared" si="7"/>
        <v>0.5</v>
      </c>
      <c r="AA32" s="49">
        <f t="shared" si="7"/>
        <v>0</v>
      </c>
      <c r="AB32" s="50">
        <f>IFERROR(AVERAGE(H32:AA32),"—")</f>
        <v>0.53749999999999998</v>
      </c>
    </row>
  </sheetData>
  <mergeCells count="10">
    <mergeCell ref="B2:AD2"/>
    <mergeCell ref="H3:L3"/>
    <mergeCell ref="M3:Q3"/>
    <mergeCell ref="R3:V3"/>
    <mergeCell ref="W3:AA3"/>
    <mergeCell ref="B28:G28"/>
    <mergeCell ref="B29:G29"/>
    <mergeCell ref="B30:G30"/>
    <mergeCell ref="B31:G31"/>
    <mergeCell ref="B32:G32"/>
  </mergeCells>
  <dataValidations count="1">
    <dataValidation type="whole" errorTitle="Valor inválido" error="Solo valores del 1 al 5" promptTitle="Escala Likert" prompt="Ingrese 1, 2, 3, 4 o 5" sqref="H6:AA25" xr:uid="{00000000-0002-0000-03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J32"/>
  <sheetViews>
    <sheetView zoomScaleNormal="100" workbookViewId="0">
      <pane xSplit="7" ySplit="5" topLeftCell="H27" activePane="bottomRight" state="frozen"/>
      <selection pane="topRight" activeCell="H1" sqref="H1"/>
      <selection pane="bottomLeft" activeCell="A6" sqref="A6"/>
      <selection pane="bottomRight" activeCell="L5" sqref="L5"/>
    </sheetView>
  </sheetViews>
  <sheetFormatPr baseColWidth="10" defaultColWidth="8.7109375" defaultRowHeight="15" x14ac:dyDescent="0.25"/>
  <cols>
    <col min="1" max="1" width="3" customWidth="1"/>
    <col min="2" max="2" width="12" customWidth="1"/>
    <col min="3" max="3" width="11.28515625" bestFit="1" customWidth="1"/>
    <col min="4" max="4" width="8" customWidth="1"/>
    <col min="5" max="5" width="6.85546875" bestFit="1" customWidth="1"/>
    <col min="6" max="6" width="35.28515625" bestFit="1" customWidth="1"/>
    <col min="7" max="7" width="30" customWidth="1"/>
    <col min="8" max="33" width="6" customWidth="1"/>
    <col min="34" max="35" width="9" customWidth="1"/>
    <col min="36" max="36" width="7" customWidth="1"/>
  </cols>
  <sheetData>
    <row r="1" spans="2:36" ht="9.75" customHeight="1" x14ac:dyDescent="0.25"/>
    <row r="2" spans="2:36" ht="36" customHeight="1" x14ac:dyDescent="0.25">
      <c r="B2" s="119" t="s">
        <v>173</v>
      </c>
      <c r="C2" s="119"/>
      <c r="D2" s="119"/>
      <c r="E2" s="119"/>
      <c r="F2" s="119"/>
      <c r="G2" s="119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19"/>
      <c r="AI2" s="119"/>
      <c r="AJ2" s="119"/>
    </row>
    <row r="3" spans="2:36" ht="21.75" customHeight="1" x14ac:dyDescent="0.25">
      <c r="H3" s="122" t="s">
        <v>360</v>
      </c>
      <c r="I3" s="122"/>
      <c r="J3" s="122"/>
      <c r="K3" s="122"/>
      <c r="L3" s="122"/>
      <c r="M3" s="122"/>
      <c r="N3" s="122"/>
      <c r="O3" s="122"/>
      <c r="P3" s="123" t="s">
        <v>361</v>
      </c>
      <c r="Q3" s="124"/>
      <c r="R3" s="124"/>
      <c r="S3" s="124"/>
      <c r="T3" s="124"/>
      <c r="U3" s="125"/>
      <c r="V3" s="121" t="s">
        <v>362</v>
      </c>
      <c r="W3" s="121"/>
      <c r="X3" s="121"/>
      <c r="Y3" s="121"/>
      <c r="Z3" s="121"/>
      <c r="AA3" s="121"/>
      <c r="AB3" s="121" t="s">
        <v>368</v>
      </c>
      <c r="AC3" s="121"/>
      <c r="AD3" s="121"/>
      <c r="AE3" s="121"/>
      <c r="AF3" s="121"/>
      <c r="AG3" s="121"/>
    </row>
    <row r="4" spans="2:36" ht="51.75" customHeight="1" x14ac:dyDescent="0.25">
      <c r="B4" s="51" t="s">
        <v>50</v>
      </c>
      <c r="C4" s="51" t="s">
        <v>51</v>
      </c>
      <c r="D4" s="51" t="s">
        <v>52</v>
      </c>
      <c r="E4" s="51" t="s">
        <v>53</v>
      </c>
      <c r="F4" s="96" t="s">
        <v>258</v>
      </c>
      <c r="G4" s="96" t="s">
        <v>54</v>
      </c>
      <c r="H4" s="94" t="s">
        <v>55</v>
      </c>
      <c r="I4" s="94" t="s">
        <v>56</v>
      </c>
      <c r="J4" s="94" t="s">
        <v>57</v>
      </c>
      <c r="K4" s="94" t="s">
        <v>58</v>
      </c>
      <c r="L4" s="94" t="s">
        <v>59</v>
      </c>
      <c r="M4" s="94" t="s">
        <v>60</v>
      </c>
      <c r="N4" s="94" t="s">
        <v>61</v>
      </c>
      <c r="O4" s="94" t="s">
        <v>62</v>
      </c>
      <c r="P4" s="94" t="s">
        <v>63</v>
      </c>
      <c r="Q4" s="94" t="s">
        <v>64</v>
      </c>
      <c r="R4" s="94" t="s">
        <v>65</v>
      </c>
      <c r="S4" s="94" t="s">
        <v>66</v>
      </c>
      <c r="T4" s="94" t="s">
        <v>67</v>
      </c>
      <c r="U4" s="94" t="s">
        <v>68</v>
      </c>
      <c r="V4" s="94" t="s">
        <v>69</v>
      </c>
      <c r="W4" s="94" t="s">
        <v>70</v>
      </c>
      <c r="X4" s="94" t="s">
        <v>71</v>
      </c>
      <c r="Y4" s="94" t="s">
        <v>72</v>
      </c>
      <c r="Z4" s="94" t="s">
        <v>73</v>
      </c>
      <c r="AA4" s="94" t="s">
        <v>74</v>
      </c>
      <c r="AB4" s="94" t="s">
        <v>363</v>
      </c>
      <c r="AC4" s="94" t="s">
        <v>364</v>
      </c>
      <c r="AD4" s="94" t="s">
        <v>365</v>
      </c>
      <c r="AE4" s="94" t="s">
        <v>366</v>
      </c>
      <c r="AF4" s="94" t="s">
        <v>367</v>
      </c>
      <c r="AG4" s="94" t="s">
        <v>394</v>
      </c>
      <c r="AH4" s="16" t="s">
        <v>75</v>
      </c>
      <c r="AI4" s="16" t="s">
        <v>76</v>
      </c>
      <c r="AJ4" s="16" t="s">
        <v>77</v>
      </c>
    </row>
    <row r="5" spans="2:36" ht="79.5" customHeight="1" x14ac:dyDescent="0.25">
      <c r="B5" s="17"/>
      <c r="C5" s="17"/>
      <c r="D5" s="17"/>
      <c r="E5" s="17"/>
      <c r="F5" s="17"/>
      <c r="G5" s="17"/>
      <c r="H5" s="95" t="s">
        <v>382</v>
      </c>
      <c r="I5" s="95" t="s">
        <v>383</v>
      </c>
      <c r="J5" s="95" t="s">
        <v>384</v>
      </c>
      <c r="K5" s="95" t="s">
        <v>385</v>
      </c>
      <c r="L5" s="95" t="s">
        <v>386</v>
      </c>
      <c r="M5" s="95" t="s">
        <v>379</v>
      </c>
      <c r="N5" s="95" t="s">
        <v>380</v>
      </c>
      <c r="O5" s="95" t="s">
        <v>381</v>
      </c>
      <c r="P5" s="95" t="s">
        <v>387</v>
      </c>
      <c r="Q5" s="95" t="s">
        <v>369</v>
      </c>
      <c r="R5" s="95" t="s">
        <v>388</v>
      </c>
      <c r="S5" s="95" t="s">
        <v>389</v>
      </c>
      <c r="T5" s="95" t="s">
        <v>390</v>
      </c>
      <c r="U5" s="95" t="s">
        <v>370</v>
      </c>
      <c r="V5" s="95" t="s">
        <v>371</v>
      </c>
      <c r="W5" s="95" t="s">
        <v>372</v>
      </c>
      <c r="X5" s="95" t="s">
        <v>373</v>
      </c>
      <c r="Y5" s="95" t="s">
        <v>391</v>
      </c>
      <c r="Z5" s="95" t="s">
        <v>392</v>
      </c>
      <c r="AA5" s="95" t="s">
        <v>374</v>
      </c>
      <c r="AB5" s="95" t="s">
        <v>375</v>
      </c>
      <c r="AC5" s="95" t="s">
        <v>393</v>
      </c>
      <c r="AD5" s="95" t="s">
        <v>376</v>
      </c>
      <c r="AE5" s="95" t="s">
        <v>377</v>
      </c>
      <c r="AF5" s="95" t="s">
        <v>378</v>
      </c>
      <c r="AG5" s="95" t="s">
        <v>406</v>
      </c>
      <c r="AH5" s="19" t="s">
        <v>98</v>
      </c>
      <c r="AI5" s="19" t="s">
        <v>98</v>
      </c>
      <c r="AJ5" s="19" t="s">
        <v>98</v>
      </c>
    </row>
    <row r="6" spans="2:36" ht="18" customHeight="1" x14ac:dyDescent="0.25">
      <c r="B6" s="20" t="s">
        <v>174</v>
      </c>
      <c r="C6" s="85">
        <v>46113.73359585648</v>
      </c>
      <c r="D6" s="21"/>
      <c r="E6" s="86" t="s">
        <v>260</v>
      </c>
      <c r="F6" s="21" t="s">
        <v>399</v>
      </c>
      <c r="G6" s="21" t="s">
        <v>395</v>
      </c>
      <c r="H6" s="22">
        <v>5</v>
      </c>
      <c r="I6" s="22">
        <v>5</v>
      </c>
      <c r="J6" s="22">
        <v>5</v>
      </c>
      <c r="K6" s="22">
        <v>5</v>
      </c>
      <c r="L6" s="22">
        <v>5</v>
      </c>
      <c r="M6" s="22">
        <v>5</v>
      </c>
      <c r="N6" s="22">
        <v>3</v>
      </c>
      <c r="O6" s="22">
        <v>5</v>
      </c>
      <c r="P6" s="22">
        <v>5</v>
      </c>
      <c r="Q6" s="22">
        <v>5</v>
      </c>
      <c r="R6" s="22">
        <v>5</v>
      </c>
      <c r="S6" s="22">
        <v>5</v>
      </c>
      <c r="T6" s="22">
        <v>5</v>
      </c>
      <c r="U6" s="22">
        <v>5</v>
      </c>
      <c r="V6" s="22">
        <v>5</v>
      </c>
      <c r="W6" s="22">
        <v>5</v>
      </c>
      <c r="X6" s="22">
        <v>5</v>
      </c>
      <c r="Y6" s="22">
        <v>5</v>
      </c>
      <c r="Z6" s="22">
        <v>5</v>
      </c>
      <c r="AA6" s="22">
        <v>5</v>
      </c>
      <c r="AB6" s="22">
        <v>3</v>
      </c>
      <c r="AC6" s="22">
        <v>3</v>
      </c>
      <c r="AD6" s="22">
        <v>5</v>
      </c>
      <c r="AE6" s="22">
        <v>3</v>
      </c>
      <c r="AF6" s="22">
        <v>3</v>
      </c>
      <c r="AG6" s="22">
        <v>5</v>
      </c>
      <c r="AH6" s="52">
        <f t="shared" ref="AH6:AH25" si="0">IFERROR(AVERAGEIF(H6:AG6,"&gt;=1"),"—")</f>
        <v>4.615384615384615</v>
      </c>
      <c r="AI6" s="53">
        <f t="shared" ref="AI6:AI25" si="1">IFERROR(STDEV(H6:AG6),"—")</f>
        <v>0.80383695246850129</v>
      </c>
      <c r="AJ6" s="53">
        <f t="shared" ref="AJ6:AJ25" si="2">COUNTIF(H6:AG6,"&gt;=1")</f>
        <v>26</v>
      </c>
    </row>
    <row r="7" spans="2:36" ht="18" customHeight="1" x14ac:dyDescent="0.25">
      <c r="B7" s="25" t="s">
        <v>175</v>
      </c>
      <c r="C7" s="85">
        <v>46113.762794432871</v>
      </c>
      <c r="D7" s="26"/>
      <c r="E7" s="97" t="s">
        <v>260</v>
      </c>
      <c r="F7" s="21" t="s">
        <v>400</v>
      </c>
      <c r="G7" s="21" t="s">
        <v>396</v>
      </c>
      <c r="H7" s="22">
        <v>5</v>
      </c>
      <c r="I7" s="22">
        <v>5</v>
      </c>
      <c r="J7" s="22">
        <v>5</v>
      </c>
      <c r="K7" s="22">
        <v>5</v>
      </c>
      <c r="L7" s="22">
        <v>2</v>
      </c>
      <c r="M7" s="22">
        <v>5</v>
      </c>
      <c r="N7" s="22">
        <v>2</v>
      </c>
      <c r="O7" s="22">
        <v>5</v>
      </c>
      <c r="P7" s="22">
        <v>3</v>
      </c>
      <c r="Q7" s="22">
        <v>5</v>
      </c>
      <c r="R7" s="22">
        <v>5</v>
      </c>
      <c r="S7" s="22">
        <v>5</v>
      </c>
      <c r="T7" s="22">
        <v>5</v>
      </c>
      <c r="U7" s="22">
        <v>5</v>
      </c>
      <c r="V7" s="22">
        <v>5</v>
      </c>
      <c r="W7" s="22">
        <v>5</v>
      </c>
      <c r="X7" s="22">
        <v>5</v>
      </c>
      <c r="Y7" s="22">
        <v>5</v>
      </c>
      <c r="Z7" s="22">
        <v>5</v>
      </c>
      <c r="AA7" s="22">
        <v>5</v>
      </c>
      <c r="AB7" s="22">
        <v>5</v>
      </c>
      <c r="AC7" s="22">
        <v>2</v>
      </c>
      <c r="AD7" s="22">
        <v>5</v>
      </c>
      <c r="AE7" s="22">
        <v>5</v>
      </c>
      <c r="AF7" s="22">
        <v>5</v>
      </c>
      <c r="AG7" s="22">
        <v>5</v>
      </c>
      <c r="AH7" s="52">
        <f t="shared" si="0"/>
        <v>4.5769230769230766</v>
      </c>
      <c r="AI7" s="53">
        <f t="shared" si="1"/>
        <v>1.0265700920278911</v>
      </c>
      <c r="AJ7" s="53">
        <f t="shared" si="2"/>
        <v>26</v>
      </c>
    </row>
    <row r="8" spans="2:36" ht="18" customHeight="1" x14ac:dyDescent="0.25">
      <c r="B8" s="20" t="s">
        <v>176</v>
      </c>
      <c r="C8" s="85">
        <v>46113.834678703701</v>
      </c>
      <c r="D8" s="21"/>
      <c r="E8" s="86" t="s">
        <v>252</v>
      </c>
      <c r="F8" s="21" t="s">
        <v>401</v>
      </c>
      <c r="G8" s="21" t="s">
        <v>397</v>
      </c>
      <c r="H8" s="22">
        <v>5</v>
      </c>
      <c r="I8" s="22">
        <v>5</v>
      </c>
      <c r="J8" s="22">
        <v>5</v>
      </c>
      <c r="K8" s="22">
        <v>5</v>
      </c>
      <c r="L8" s="22">
        <v>5</v>
      </c>
      <c r="M8" s="22">
        <v>5</v>
      </c>
      <c r="N8" s="22">
        <v>5</v>
      </c>
      <c r="O8" s="22">
        <v>5</v>
      </c>
      <c r="P8" s="22">
        <v>5</v>
      </c>
      <c r="Q8" s="22">
        <v>5</v>
      </c>
      <c r="R8" s="22">
        <v>5</v>
      </c>
      <c r="S8" s="22">
        <v>5</v>
      </c>
      <c r="T8" s="22">
        <v>5</v>
      </c>
      <c r="U8" s="22">
        <v>5</v>
      </c>
      <c r="V8" s="22">
        <v>5</v>
      </c>
      <c r="W8" s="22">
        <v>5</v>
      </c>
      <c r="X8" s="22">
        <v>5</v>
      </c>
      <c r="Y8" s="22">
        <v>3</v>
      </c>
      <c r="Z8" s="22">
        <v>4</v>
      </c>
      <c r="AA8" s="22">
        <v>5</v>
      </c>
      <c r="AB8" s="22">
        <v>4</v>
      </c>
      <c r="AC8" s="22">
        <v>4</v>
      </c>
      <c r="AD8" s="22">
        <v>4</v>
      </c>
      <c r="AE8" s="22">
        <v>3</v>
      </c>
      <c r="AF8" s="22">
        <v>5</v>
      </c>
      <c r="AG8" s="22">
        <v>4</v>
      </c>
      <c r="AH8" s="52">
        <f t="shared" si="0"/>
        <v>4.6538461538461542</v>
      </c>
      <c r="AI8" s="53">
        <f t="shared" si="1"/>
        <v>0.62879616362110091</v>
      </c>
      <c r="AJ8" s="53">
        <f t="shared" si="2"/>
        <v>26</v>
      </c>
    </row>
    <row r="9" spans="2:36" ht="18" customHeight="1" x14ac:dyDescent="0.25">
      <c r="B9" s="25" t="s">
        <v>177</v>
      </c>
      <c r="C9" s="85">
        <v>46113.853105358794</v>
      </c>
      <c r="D9" s="26"/>
      <c r="E9" s="97" t="s">
        <v>252</v>
      </c>
      <c r="F9" s="21" t="s">
        <v>402</v>
      </c>
      <c r="G9" s="21" t="s">
        <v>398</v>
      </c>
      <c r="H9" s="22">
        <v>5</v>
      </c>
      <c r="I9" s="22">
        <v>5</v>
      </c>
      <c r="J9" s="22">
        <v>5</v>
      </c>
      <c r="K9" s="22">
        <v>5</v>
      </c>
      <c r="L9" s="22">
        <v>3</v>
      </c>
      <c r="M9" s="22">
        <v>5</v>
      </c>
      <c r="N9" s="22">
        <v>4</v>
      </c>
      <c r="O9" s="22">
        <v>5</v>
      </c>
      <c r="P9" s="22">
        <v>5</v>
      </c>
      <c r="Q9" s="22">
        <v>5</v>
      </c>
      <c r="R9" s="22">
        <v>5</v>
      </c>
      <c r="S9" s="22">
        <v>5</v>
      </c>
      <c r="T9" s="22">
        <v>5</v>
      </c>
      <c r="U9" s="22">
        <v>5</v>
      </c>
      <c r="V9" s="22">
        <v>5</v>
      </c>
      <c r="W9" s="22">
        <v>5</v>
      </c>
      <c r="X9" s="22">
        <v>5</v>
      </c>
      <c r="Y9" s="22">
        <v>5</v>
      </c>
      <c r="Z9" s="22">
        <v>5</v>
      </c>
      <c r="AA9" s="22">
        <v>5</v>
      </c>
      <c r="AB9" s="22">
        <v>3</v>
      </c>
      <c r="AC9" s="22">
        <v>3</v>
      </c>
      <c r="AD9" s="22">
        <v>3</v>
      </c>
      <c r="AE9" s="22">
        <v>5</v>
      </c>
      <c r="AF9" s="22">
        <v>5</v>
      </c>
      <c r="AG9" s="22">
        <v>5</v>
      </c>
      <c r="AH9" s="52">
        <f t="shared" si="0"/>
        <v>4.6538461538461542</v>
      </c>
      <c r="AI9" s="53">
        <f t="shared" si="1"/>
        <v>0.74524131352509859</v>
      </c>
      <c r="AJ9" s="53">
        <f t="shared" si="2"/>
        <v>26</v>
      </c>
    </row>
    <row r="10" spans="2:36" ht="18" customHeight="1" x14ac:dyDescent="0.25">
      <c r="B10" s="20" t="s">
        <v>178</v>
      </c>
      <c r="C10" s="85">
        <v>46114.415146562504</v>
      </c>
      <c r="D10" s="21"/>
      <c r="E10" s="86" t="s">
        <v>252</v>
      </c>
      <c r="F10" s="21" t="s">
        <v>403</v>
      </c>
      <c r="G10" s="21" t="s">
        <v>397</v>
      </c>
      <c r="H10" s="22">
        <v>5</v>
      </c>
      <c r="I10" s="22">
        <v>5</v>
      </c>
      <c r="J10" s="22">
        <v>5</v>
      </c>
      <c r="K10" s="22">
        <v>5</v>
      </c>
      <c r="L10" s="22">
        <v>3</v>
      </c>
      <c r="M10" s="22">
        <v>5</v>
      </c>
      <c r="N10" s="22">
        <v>2</v>
      </c>
      <c r="O10" s="22">
        <v>4</v>
      </c>
      <c r="P10" s="22">
        <v>5</v>
      </c>
      <c r="Q10" s="22">
        <v>5</v>
      </c>
      <c r="R10" s="22">
        <v>5</v>
      </c>
      <c r="S10" s="22">
        <v>5</v>
      </c>
      <c r="T10" s="22">
        <v>5</v>
      </c>
      <c r="U10" s="22">
        <v>5</v>
      </c>
      <c r="V10" s="22">
        <v>4</v>
      </c>
      <c r="W10" s="22">
        <v>3</v>
      </c>
      <c r="X10" s="22">
        <v>5</v>
      </c>
      <c r="Y10" s="22">
        <v>2</v>
      </c>
      <c r="Z10" s="22">
        <v>5</v>
      </c>
      <c r="AA10" s="22">
        <v>5</v>
      </c>
      <c r="AB10" s="22">
        <v>5</v>
      </c>
      <c r="AC10" s="22">
        <v>5</v>
      </c>
      <c r="AD10" s="22">
        <v>5</v>
      </c>
      <c r="AE10" s="22">
        <v>5</v>
      </c>
      <c r="AF10" s="22">
        <v>5</v>
      </c>
      <c r="AG10" s="22">
        <v>5</v>
      </c>
      <c r="AH10" s="52">
        <f t="shared" si="0"/>
        <v>4.5384615384615383</v>
      </c>
      <c r="AI10" s="53">
        <f t="shared" si="1"/>
        <v>0.94787211081534517</v>
      </c>
      <c r="AJ10" s="53">
        <f t="shared" si="2"/>
        <v>26</v>
      </c>
    </row>
    <row r="11" spans="2:36" ht="18" customHeight="1" x14ac:dyDescent="0.25">
      <c r="B11" s="25" t="s">
        <v>179</v>
      </c>
      <c r="C11" s="85">
        <v>46116.808333333334</v>
      </c>
      <c r="D11" s="26"/>
      <c r="E11" s="97" t="s">
        <v>252</v>
      </c>
      <c r="F11" s="21" t="s">
        <v>416</v>
      </c>
      <c r="G11" s="21" t="s">
        <v>424</v>
      </c>
      <c r="H11" s="22">
        <v>4</v>
      </c>
      <c r="I11" s="22">
        <v>4</v>
      </c>
      <c r="J11" s="22">
        <v>4</v>
      </c>
      <c r="K11" s="22">
        <v>4</v>
      </c>
      <c r="L11" s="22">
        <v>4</v>
      </c>
      <c r="M11" s="22">
        <v>4</v>
      </c>
      <c r="N11" s="22">
        <v>4</v>
      </c>
      <c r="O11" s="22">
        <v>4</v>
      </c>
      <c r="P11" s="22">
        <v>5</v>
      </c>
      <c r="Q11" s="22">
        <v>5</v>
      </c>
      <c r="R11" s="22">
        <v>5</v>
      </c>
      <c r="S11" s="22">
        <v>5</v>
      </c>
      <c r="T11" s="22">
        <v>3</v>
      </c>
      <c r="U11" s="22">
        <v>4</v>
      </c>
      <c r="V11" s="22">
        <v>5</v>
      </c>
      <c r="W11" s="22">
        <v>5</v>
      </c>
      <c r="X11" s="22">
        <v>4</v>
      </c>
      <c r="Y11" s="22">
        <v>5</v>
      </c>
      <c r="Z11" s="22">
        <v>5</v>
      </c>
      <c r="AA11" s="22">
        <v>5</v>
      </c>
      <c r="AB11" s="22">
        <v>3</v>
      </c>
      <c r="AC11" s="22">
        <v>3</v>
      </c>
      <c r="AD11" s="22">
        <v>5</v>
      </c>
      <c r="AE11" s="22">
        <v>4</v>
      </c>
      <c r="AF11" s="22">
        <v>4</v>
      </c>
      <c r="AG11" s="22">
        <v>4</v>
      </c>
      <c r="AH11" s="52">
        <f t="shared" si="0"/>
        <v>4.2692307692307692</v>
      </c>
      <c r="AI11" s="53">
        <f t="shared" si="1"/>
        <v>0.66679485946982653</v>
      </c>
      <c r="AJ11" s="53">
        <f t="shared" si="2"/>
        <v>26</v>
      </c>
    </row>
    <row r="12" spans="2:36" ht="18" customHeight="1" x14ac:dyDescent="0.25">
      <c r="B12" s="20" t="s">
        <v>180</v>
      </c>
      <c r="C12" s="85">
        <v>46116.81145833333</v>
      </c>
      <c r="D12" s="21"/>
      <c r="E12" s="86" t="s">
        <v>260</v>
      </c>
      <c r="F12" s="21" t="s">
        <v>417</v>
      </c>
      <c r="G12" s="21" t="s">
        <v>425</v>
      </c>
      <c r="H12" s="22">
        <v>4</v>
      </c>
      <c r="I12" s="22">
        <v>4</v>
      </c>
      <c r="J12" s="22">
        <v>4</v>
      </c>
      <c r="K12" s="22">
        <v>4</v>
      </c>
      <c r="L12" s="22">
        <v>3</v>
      </c>
      <c r="M12" s="22">
        <v>4</v>
      </c>
      <c r="N12" s="22">
        <v>3</v>
      </c>
      <c r="O12" s="22">
        <v>4</v>
      </c>
      <c r="P12" s="22">
        <v>4</v>
      </c>
      <c r="Q12" s="22">
        <v>4</v>
      </c>
      <c r="R12" s="22">
        <v>4</v>
      </c>
      <c r="S12" s="22">
        <v>4</v>
      </c>
      <c r="T12" s="22">
        <v>5</v>
      </c>
      <c r="U12" s="22">
        <v>5</v>
      </c>
      <c r="V12" s="22">
        <v>5</v>
      </c>
      <c r="W12" s="22">
        <v>5</v>
      </c>
      <c r="X12" s="22">
        <v>5</v>
      </c>
      <c r="Y12" s="22">
        <v>5</v>
      </c>
      <c r="Z12" s="22">
        <v>4</v>
      </c>
      <c r="AA12" s="22">
        <v>5</v>
      </c>
      <c r="AB12" s="22">
        <v>5</v>
      </c>
      <c r="AC12" s="22">
        <v>4</v>
      </c>
      <c r="AD12" s="22">
        <v>5</v>
      </c>
      <c r="AE12" s="22">
        <v>5</v>
      </c>
      <c r="AF12" s="22">
        <v>4</v>
      </c>
      <c r="AG12" s="22">
        <v>4</v>
      </c>
      <c r="AH12" s="52">
        <f t="shared" si="0"/>
        <v>4.3076923076923075</v>
      </c>
      <c r="AI12" s="53">
        <f t="shared" si="1"/>
        <v>0.61768799691953047</v>
      </c>
      <c r="AJ12" s="53">
        <f t="shared" si="2"/>
        <v>26</v>
      </c>
    </row>
    <row r="13" spans="2:36" ht="18" customHeight="1" x14ac:dyDescent="0.25">
      <c r="B13" s="25" t="s">
        <v>181</v>
      </c>
      <c r="C13" s="85">
        <v>46117.628923611112</v>
      </c>
      <c r="D13" s="26"/>
      <c r="E13" s="97" t="s">
        <v>252</v>
      </c>
      <c r="F13" s="21" t="s">
        <v>418</v>
      </c>
      <c r="G13" s="21" t="s">
        <v>426</v>
      </c>
      <c r="H13" s="22">
        <v>2</v>
      </c>
      <c r="I13" s="22">
        <v>4</v>
      </c>
      <c r="J13" s="22">
        <v>1</v>
      </c>
      <c r="K13" s="22">
        <v>2</v>
      </c>
      <c r="L13" s="22">
        <v>1</v>
      </c>
      <c r="M13" s="22">
        <v>4</v>
      </c>
      <c r="N13" s="22">
        <v>1</v>
      </c>
      <c r="O13" s="22">
        <v>2</v>
      </c>
      <c r="P13" s="22">
        <v>5</v>
      </c>
      <c r="Q13" s="22">
        <v>5</v>
      </c>
      <c r="R13" s="22">
        <v>5</v>
      </c>
      <c r="S13" s="22">
        <v>5</v>
      </c>
      <c r="T13" s="22">
        <v>5</v>
      </c>
      <c r="U13" s="22">
        <v>5</v>
      </c>
      <c r="V13" s="22">
        <v>5</v>
      </c>
      <c r="W13" s="22">
        <v>5</v>
      </c>
      <c r="X13" s="22">
        <v>5</v>
      </c>
      <c r="Y13" s="22">
        <v>5</v>
      </c>
      <c r="Z13" s="22">
        <v>5</v>
      </c>
      <c r="AA13" s="22">
        <v>5</v>
      </c>
      <c r="AB13" s="22">
        <v>5</v>
      </c>
      <c r="AC13" s="22">
        <v>5</v>
      </c>
      <c r="AD13" s="22">
        <v>5</v>
      </c>
      <c r="AE13" s="22">
        <v>5</v>
      </c>
      <c r="AF13" s="22">
        <v>5</v>
      </c>
      <c r="AG13" s="22">
        <v>3</v>
      </c>
      <c r="AH13" s="52">
        <f t="shared" si="0"/>
        <v>4.0384615384615383</v>
      </c>
      <c r="AI13" s="53">
        <f t="shared" si="1"/>
        <v>1.5094573655660295</v>
      </c>
      <c r="AJ13" s="53">
        <f t="shared" si="2"/>
        <v>26</v>
      </c>
    </row>
    <row r="14" spans="2:36" ht="18" customHeight="1" x14ac:dyDescent="0.25">
      <c r="B14" s="20" t="s">
        <v>182</v>
      </c>
      <c r="C14" s="85">
        <v>46118.168761574074</v>
      </c>
      <c r="D14" s="21"/>
      <c r="E14" s="86" t="s">
        <v>252</v>
      </c>
      <c r="F14" s="21" t="s">
        <v>419</v>
      </c>
      <c r="G14" s="21" t="s">
        <v>397</v>
      </c>
      <c r="H14" s="22">
        <v>3</v>
      </c>
      <c r="I14" s="22">
        <v>4</v>
      </c>
      <c r="J14" s="22">
        <v>4</v>
      </c>
      <c r="K14" s="22">
        <v>4</v>
      </c>
      <c r="L14" s="22">
        <v>2</v>
      </c>
      <c r="M14" s="22">
        <v>4</v>
      </c>
      <c r="N14" s="22">
        <v>3</v>
      </c>
      <c r="O14" s="22">
        <v>4</v>
      </c>
      <c r="P14" s="22">
        <v>4</v>
      </c>
      <c r="Q14" s="22">
        <v>4</v>
      </c>
      <c r="R14" s="22">
        <v>4</v>
      </c>
      <c r="S14" s="22">
        <v>4</v>
      </c>
      <c r="T14" s="22">
        <v>4</v>
      </c>
      <c r="U14" s="22">
        <v>4</v>
      </c>
      <c r="V14" s="22">
        <v>4</v>
      </c>
      <c r="W14" s="22">
        <v>4</v>
      </c>
      <c r="X14" s="22">
        <v>4</v>
      </c>
      <c r="Y14" s="22">
        <v>4</v>
      </c>
      <c r="Z14" s="22">
        <v>5</v>
      </c>
      <c r="AA14" s="22">
        <v>4</v>
      </c>
      <c r="AB14" s="22">
        <v>4</v>
      </c>
      <c r="AC14" s="22">
        <v>4</v>
      </c>
      <c r="AD14" s="22">
        <v>3</v>
      </c>
      <c r="AE14" s="22">
        <v>3</v>
      </c>
      <c r="AF14" s="22">
        <v>4</v>
      </c>
      <c r="AG14" s="22">
        <v>4</v>
      </c>
      <c r="AH14" s="52">
        <f t="shared" si="0"/>
        <v>3.8076923076923075</v>
      </c>
      <c r="AI14" s="53">
        <f t="shared" si="1"/>
        <v>0.56704361519945001</v>
      </c>
      <c r="AJ14" s="53">
        <f t="shared" si="2"/>
        <v>26</v>
      </c>
    </row>
    <row r="15" spans="2:36" ht="18" customHeight="1" x14ac:dyDescent="0.25">
      <c r="B15" s="25" t="s">
        <v>183</v>
      </c>
      <c r="C15" s="85">
        <v>46118.70484953704</v>
      </c>
      <c r="D15" s="26"/>
      <c r="E15" s="97" t="s">
        <v>252</v>
      </c>
      <c r="F15" s="21" t="s">
        <v>420</v>
      </c>
      <c r="G15" s="21" t="s">
        <v>427</v>
      </c>
      <c r="H15" s="22">
        <v>5</v>
      </c>
      <c r="I15" s="22">
        <v>5</v>
      </c>
      <c r="J15" s="22">
        <v>5</v>
      </c>
      <c r="K15" s="22">
        <v>5</v>
      </c>
      <c r="L15" s="22">
        <v>3</v>
      </c>
      <c r="M15" s="22">
        <v>5</v>
      </c>
      <c r="N15" s="22">
        <v>4</v>
      </c>
      <c r="O15" s="22">
        <v>4</v>
      </c>
      <c r="P15" s="22">
        <v>5</v>
      </c>
      <c r="Q15" s="22">
        <v>5</v>
      </c>
      <c r="R15" s="22">
        <v>5</v>
      </c>
      <c r="S15" s="22">
        <v>5</v>
      </c>
      <c r="T15" s="22">
        <v>5</v>
      </c>
      <c r="U15" s="22">
        <v>5</v>
      </c>
      <c r="V15" s="22">
        <v>5</v>
      </c>
      <c r="W15" s="22">
        <v>5</v>
      </c>
      <c r="X15" s="22">
        <v>5</v>
      </c>
      <c r="Y15" s="22">
        <v>5</v>
      </c>
      <c r="Z15" s="22">
        <v>5</v>
      </c>
      <c r="AA15" s="22">
        <v>5</v>
      </c>
      <c r="AB15" s="22">
        <v>4</v>
      </c>
      <c r="AC15" s="22">
        <v>5</v>
      </c>
      <c r="AD15" s="22">
        <v>4</v>
      </c>
      <c r="AE15" s="22">
        <v>5</v>
      </c>
      <c r="AF15" s="22">
        <v>5</v>
      </c>
      <c r="AG15" s="22">
        <v>5</v>
      </c>
      <c r="AH15" s="52">
        <f t="shared" si="0"/>
        <v>4.7692307692307692</v>
      </c>
      <c r="AI15" s="53">
        <f t="shared" si="1"/>
        <v>0.51440779991693908</v>
      </c>
      <c r="AJ15" s="53">
        <f t="shared" si="2"/>
        <v>26</v>
      </c>
    </row>
    <row r="16" spans="2:36" ht="18" customHeight="1" x14ac:dyDescent="0.25">
      <c r="B16" s="20" t="s">
        <v>184</v>
      </c>
      <c r="C16" s="85">
        <v>46119.710879629631</v>
      </c>
      <c r="D16" s="21"/>
      <c r="E16" s="86" t="s">
        <v>252</v>
      </c>
      <c r="F16" s="21" t="s">
        <v>421</v>
      </c>
      <c r="G16" s="21" t="s">
        <v>428</v>
      </c>
      <c r="H16" s="22">
        <v>5</v>
      </c>
      <c r="I16" s="22">
        <v>5</v>
      </c>
      <c r="J16" s="22">
        <v>5</v>
      </c>
      <c r="K16" s="22">
        <v>5</v>
      </c>
      <c r="L16" s="22">
        <v>3</v>
      </c>
      <c r="M16" s="22">
        <v>5</v>
      </c>
      <c r="N16" s="22">
        <v>5</v>
      </c>
      <c r="O16" s="22">
        <v>5</v>
      </c>
      <c r="P16" s="22">
        <v>5</v>
      </c>
      <c r="Q16" s="22">
        <v>5</v>
      </c>
      <c r="R16" s="22">
        <v>5</v>
      </c>
      <c r="S16" s="22">
        <v>5</v>
      </c>
      <c r="T16" s="22">
        <v>5</v>
      </c>
      <c r="U16" s="22">
        <v>5</v>
      </c>
      <c r="V16" s="22">
        <v>5</v>
      </c>
      <c r="W16" s="22">
        <v>5</v>
      </c>
      <c r="X16" s="22">
        <v>5</v>
      </c>
      <c r="Y16" s="22">
        <v>5</v>
      </c>
      <c r="Z16" s="22">
        <v>5</v>
      </c>
      <c r="AA16" s="22">
        <v>5</v>
      </c>
      <c r="AB16" s="22">
        <v>3</v>
      </c>
      <c r="AC16" s="22">
        <v>5</v>
      </c>
      <c r="AD16" s="22">
        <v>3</v>
      </c>
      <c r="AE16" s="22">
        <v>5</v>
      </c>
      <c r="AF16" s="22">
        <v>5</v>
      </c>
      <c r="AG16" s="22">
        <v>5</v>
      </c>
      <c r="AH16" s="52">
        <f t="shared" si="0"/>
        <v>4.7692307692307692</v>
      </c>
      <c r="AI16" s="53">
        <f t="shared" si="1"/>
        <v>0.65162518721684304</v>
      </c>
      <c r="AJ16" s="53">
        <f t="shared" si="2"/>
        <v>26</v>
      </c>
    </row>
    <row r="17" spans="2:36" ht="18" customHeight="1" x14ac:dyDescent="0.25">
      <c r="B17" s="25" t="s">
        <v>185</v>
      </c>
      <c r="C17" s="85">
        <v>46119.766909722224</v>
      </c>
      <c r="D17" s="26"/>
      <c r="E17" s="97" t="s">
        <v>252</v>
      </c>
      <c r="F17" s="21" t="s">
        <v>422</v>
      </c>
      <c r="G17" s="21" t="s">
        <v>429</v>
      </c>
      <c r="H17" s="22">
        <v>4</v>
      </c>
      <c r="I17" s="22">
        <v>5</v>
      </c>
      <c r="J17" s="22">
        <v>4</v>
      </c>
      <c r="K17" s="22">
        <v>4</v>
      </c>
      <c r="L17" s="22">
        <v>4</v>
      </c>
      <c r="M17" s="22">
        <v>4</v>
      </c>
      <c r="N17" s="22">
        <v>2</v>
      </c>
      <c r="O17" s="22">
        <v>5</v>
      </c>
      <c r="P17" s="22">
        <v>5</v>
      </c>
      <c r="Q17" s="22">
        <v>3</v>
      </c>
      <c r="R17" s="22">
        <v>4</v>
      </c>
      <c r="S17" s="22">
        <v>4</v>
      </c>
      <c r="T17" s="22">
        <v>4</v>
      </c>
      <c r="U17" s="22">
        <v>4</v>
      </c>
      <c r="V17" s="22">
        <v>5</v>
      </c>
      <c r="W17" s="22">
        <v>4</v>
      </c>
      <c r="X17" s="22">
        <v>4</v>
      </c>
      <c r="Y17" s="22">
        <v>4</v>
      </c>
      <c r="Z17" s="22">
        <v>5</v>
      </c>
      <c r="AA17" s="22">
        <v>5</v>
      </c>
      <c r="AB17" s="22">
        <v>5</v>
      </c>
      <c r="AC17" s="22">
        <v>5</v>
      </c>
      <c r="AD17" s="22">
        <v>5</v>
      </c>
      <c r="AE17" s="22">
        <v>5</v>
      </c>
      <c r="AF17" s="22">
        <v>5</v>
      </c>
      <c r="AG17" s="22">
        <v>5</v>
      </c>
      <c r="AH17" s="52">
        <f t="shared" si="0"/>
        <v>4.3461538461538458</v>
      </c>
      <c r="AI17" s="53">
        <f t="shared" si="1"/>
        <v>0.74524131352509859</v>
      </c>
      <c r="AJ17" s="53">
        <f t="shared" si="2"/>
        <v>26</v>
      </c>
    </row>
    <row r="18" spans="2:36" ht="18" customHeight="1" x14ac:dyDescent="0.25">
      <c r="B18" s="20" t="s">
        <v>186</v>
      </c>
      <c r="C18" s="85">
        <v>46133.9065162037</v>
      </c>
      <c r="D18" s="21"/>
      <c r="E18" s="86" t="s">
        <v>252</v>
      </c>
      <c r="F18" s="21" t="s">
        <v>423</v>
      </c>
      <c r="G18" s="21" t="s">
        <v>395</v>
      </c>
      <c r="H18" s="22">
        <v>5</v>
      </c>
      <c r="I18" s="22">
        <v>5</v>
      </c>
      <c r="J18" s="22">
        <v>5</v>
      </c>
      <c r="K18" s="22">
        <v>5</v>
      </c>
      <c r="L18" s="22">
        <v>5</v>
      </c>
      <c r="M18" s="22">
        <v>5</v>
      </c>
      <c r="N18" s="22">
        <v>4</v>
      </c>
      <c r="O18" s="22">
        <v>5</v>
      </c>
      <c r="P18" s="22">
        <v>5</v>
      </c>
      <c r="Q18" s="22">
        <v>5</v>
      </c>
      <c r="R18" s="22">
        <v>5</v>
      </c>
      <c r="S18" s="22">
        <v>5</v>
      </c>
      <c r="T18" s="22">
        <v>5</v>
      </c>
      <c r="U18" s="22">
        <v>5</v>
      </c>
      <c r="V18" s="22">
        <v>5</v>
      </c>
      <c r="W18" s="22">
        <v>5</v>
      </c>
      <c r="X18" s="22">
        <v>5</v>
      </c>
      <c r="Y18" s="22">
        <v>5</v>
      </c>
      <c r="Z18" s="22">
        <v>5</v>
      </c>
      <c r="AA18" s="22">
        <v>5</v>
      </c>
      <c r="AB18" s="22">
        <v>4</v>
      </c>
      <c r="AC18" s="22">
        <v>5</v>
      </c>
      <c r="AD18" s="22">
        <v>4</v>
      </c>
      <c r="AE18" s="22">
        <v>5</v>
      </c>
      <c r="AF18" s="22">
        <v>5</v>
      </c>
      <c r="AG18" s="22">
        <v>5</v>
      </c>
      <c r="AH18" s="52">
        <f t="shared" si="0"/>
        <v>4.884615384615385</v>
      </c>
      <c r="AI18" s="53">
        <f t="shared" si="1"/>
        <v>0.32581259360842113</v>
      </c>
      <c r="AJ18" s="53">
        <f t="shared" si="2"/>
        <v>26</v>
      </c>
    </row>
    <row r="19" spans="2:36" ht="18" customHeight="1" x14ac:dyDescent="0.25">
      <c r="B19" s="25" t="s">
        <v>187</v>
      </c>
      <c r="C19" s="26"/>
      <c r="D19" s="26"/>
      <c r="E19" s="26"/>
      <c r="F19" s="26"/>
      <c r="G19" s="26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52" t="str">
        <f t="shared" si="0"/>
        <v>—</v>
      </c>
      <c r="AI19" s="53" t="str">
        <f t="shared" si="1"/>
        <v>—</v>
      </c>
      <c r="AJ19" s="53">
        <f t="shared" si="2"/>
        <v>0</v>
      </c>
    </row>
    <row r="20" spans="2:36" ht="18" customHeight="1" x14ac:dyDescent="0.25">
      <c r="B20" s="20" t="s">
        <v>188</v>
      </c>
      <c r="C20" s="21"/>
      <c r="D20" s="21"/>
      <c r="E20" s="21"/>
      <c r="F20" s="21"/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52" t="str">
        <f t="shared" si="0"/>
        <v>—</v>
      </c>
      <c r="AI20" s="53" t="str">
        <f t="shared" si="1"/>
        <v>—</v>
      </c>
      <c r="AJ20" s="53">
        <f t="shared" si="2"/>
        <v>0</v>
      </c>
    </row>
    <row r="21" spans="2:36" ht="18" customHeight="1" x14ac:dyDescent="0.25">
      <c r="B21" s="25" t="s">
        <v>189</v>
      </c>
      <c r="C21" s="26"/>
      <c r="D21" s="26"/>
      <c r="E21" s="26"/>
      <c r="F21" s="26"/>
      <c r="G21" s="26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52" t="str">
        <f t="shared" si="0"/>
        <v>—</v>
      </c>
      <c r="AI21" s="53" t="str">
        <f t="shared" si="1"/>
        <v>—</v>
      </c>
      <c r="AJ21" s="53">
        <f t="shared" si="2"/>
        <v>0</v>
      </c>
    </row>
    <row r="22" spans="2:36" ht="18" customHeight="1" x14ac:dyDescent="0.25">
      <c r="B22" s="20" t="s">
        <v>190</v>
      </c>
      <c r="C22" s="21"/>
      <c r="D22" s="21"/>
      <c r="E22" s="21"/>
      <c r="F22" s="21"/>
      <c r="G22" s="21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52" t="str">
        <f t="shared" si="0"/>
        <v>—</v>
      </c>
      <c r="AI22" s="53" t="str">
        <f t="shared" si="1"/>
        <v>—</v>
      </c>
      <c r="AJ22" s="53">
        <f t="shared" si="2"/>
        <v>0</v>
      </c>
    </row>
    <row r="23" spans="2:36" ht="18" customHeight="1" x14ac:dyDescent="0.25">
      <c r="B23" s="25" t="s">
        <v>191</v>
      </c>
      <c r="C23" s="26"/>
      <c r="D23" s="26"/>
      <c r="E23" s="26"/>
      <c r="F23" s="26"/>
      <c r="G23" s="26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52" t="str">
        <f t="shared" si="0"/>
        <v>—</v>
      </c>
      <c r="AI23" s="53" t="str">
        <f t="shared" si="1"/>
        <v>—</v>
      </c>
      <c r="AJ23" s="53">
        <f t="shared" si="2"/>
        <v>0</v>
      </c>
    </row>
    <row r="24" spans="2:36" ht="18" customHeight="1" x14ac:dyDescent="0.25">
      <c r="B24" s="20" t="s">
        <v>192</v>
      </c>
      <c r="C24" s="21"/>
      <c r="D24" s="21"/>
      <c r="E24" s="21"/>
      <c r="F24" s="21"/>
      <c r="G24" s="21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52" t="str">
        <f t="shared" si="0"/>
        <v>—</v>
      </c>
      <c r="AI24" s="53" t="str">
        <f t="shared" si="1"/>
        <v>—</v>
      </c>
      <c r="AJ24" s="53">
        <f t="shared" si="2"/>
        <v>0</v>
      </c>
    </row>
    <row r="25" spans="2:36" ht="18" customHeight="1" x14ac:dyDescent="0.25">
      <c r="B25" s="25" t="s">
        <v>193</v>
      </c>
      <c r="C25" s="26"/>
      <c r="D25" s="26"/>
      <c r="E25" s="26"/>
      <c r="F25" s="26"/>
      <c r="G25" s="26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52" t="str">
        <f t="shared" si="0"/>
        <v>—</v>
      </c>
      <c r="AI25" s="53" t="str">
        <f t="shared" si="1"/>
        <v>—</v>
      </c>
      <c r="AJ25" s="53">
        <f t="shared" si="2"/>
        <v>0</v>
      </c>
    </row>
    <row r="27" spans="2:36" ht="7.5" customHeight="1" x14ac:dyDescent="0.25"/>
    <row r="28" spans="2:36" ht="19.5" customHeight="1" x14ac:dyDescent="0.25">
      <c r="B28" s="108" t="s">
        <v>119</v>
      </c>
      <c r="C28" s="108"/>
      <c r="D28" s="108"/>
      <c r="E28" s="108"/>
      <c r="F28" s="108"/>
      <c r="G28" s="108"/>
      <c r="H28" s="54">
        <f t="shared" ref="H28:AG28" si="3">IFERROR(AVERAGEIF(H6:H25,"&gt;=1"), "—")</f>
        <v>4.384615384615385</v>
      </c>
      <c r="I28" s="54">
        <f t="shared" si="3"/>
        <v>4.6923076923076925</v>
      </c>
      <c r="J28" s="54">
        <f t="shared" si="3"/>
        <v>4.384615384615385</v>
      </c>
      <c r="K28" s="54">
        <f t="shared" si="3"/>
        <v>4.4615384615384617</v>
      </c>
      <c r="L28" s="54">
        <f t="shared" si="3"/>
        <v>3.3076923076923075</v>
      </c>
      <c r="M28" s="54">
        <f t="shared" si="3"/>
        <v>4.615384615384615</v>
      </c>
      <c r="N28" s="54">
        <f t="shared" si="3"/>
        <v>3.2307692307692308</v>
      </c>
      <c r="O28" s="54">
        <f t="shared" si="3"/>
        <v>4.384615384615385</v>
      </c>
      <c r="P28" s="54">
        <f t="shared" si="3"/>
        <v>4.6923076923076925</v>
      </c>
      <c r="Q28" s="54">
        <f t="shared" si="3"/>
        <v>4.6923076923076925</v>
      </c>
      <c r="R28" s="54">
        <f t="shared" si="3"/>
        <v>4.7692307692307692</v>
      </c>
      <c r="S28" s="54">
        <f t="shared" si="3"/>
        <v>4.7692307692307692</v>
      </c>
      <c r="T28" s="54">
        <f t="shared" si="3"/>
        <v>4.6923076923076925</v>
      </c>
      <c r="U28" s="54">
        <f t="shared" si="3"/>
        <v>4.7692307692307692</v>
      </c>
      <c r="V28" s="54">
        <f t="shared" si="3"/>
        <v>4.8461538461538458</v>
      </c>
      <c r="W28" s="54">
        <f t="shared" si="3"/>
        <v>4.6923076923076925</v>
      </c>
      <c r="X28" s="54">
        <f t="shared" si="3"/>
        <v>4.7692307692307692</v>
      </c>
      <c r="Y28" s="54">
        <f t="shared" si="3"/>
        <v>4.4615384615384617</v>
      </c>
      <c r="Z28" s="54">
        <f t="shared" si="3"/>
        <v>4.8461538461538458</v>
      </c>
      <c r="AA28" s="54">
        <f t="shared" si="3"/>
        <v>4.9230769230769234</v>
      </c>
      <c r="AB28" s="54">
        <f t="shared" ref="AB28:AF28" si="4">IFERROR(AVERAGEIF(AB6:AB25,"&gt;=1"), "—")</f>
        <v>4.0769230769230766</v>
      </c>
      <c r="AC28" s="54">
        <f t="shared" si="4"/>
        <v>4.0769230769230766</v>
      </c>
      <c r="AD28" s="54">
        <f t="shared" si="4"/>
        <v>4.3076923076923075</v>
      </c>
      <c r="AE28" s="54">
        <f t="shared" si="4"/>
        <v>4.4615384615384617</v>
      </c>
      <c r="AF28" s="54">
        <f t="shared" si="4"/>
        <v>4.615384615384615</v>
      </c>
      <c r="AG28" s="54">
        <f t="shared" si="3"/>
        <v>4.5384615384615383</v>
      </c>
      <c r="AH28" s="55">
        <f>IFERROR(AVERAGE(H28:AG28),"—")</f>
        <v>4.4792899408284024</v>
      </c>
    </row>
    <row r="29" spans="2:36" ht="19.5" customHeight="1" x14ac:dyDescent="0.25">
      <c r="B29" s="109" t="s">
        <v>120</v>
      </c>
      <c r="C29" s="109"/>
      <c r="D29" s="109"/>
      <c r="E29" s="109"/>
      <c r="F29" s="109"/>
      <c r="G29" s="109"/>
      <c r="H29" s="29">
        <f t="shared" ref="H29:AG29" si="5">IFERROR(STDEV(H6:H25),"—")</f>
        <v>0.96076892283052229</v>
      </c>
      <c r="I29" s="29">
        <f t="shared" si="5"/>
        <v>0.48038446141526148</v>
      </c>
      <c r="J29" s="29">
        <f t="shared" si="5"/>
        <v>1.1208970766356094</v>
      </c>
      <c r="K29" s="29">
        <f t="shared" si="5"/>
        <v>0.87705801930702898</v>
      </c>
      <c r="L29" s="29">
        <f t="shared" si="5"/>
        <v>1.2506408613597129</v>
      </c>
      <c r="M29" s="29">
        <f t="shared" si="5"/>
        <v>0.50636968354183476</v>
      </c>
      <c r="N29" s="29">
        <f t="shared" si="5"/>
        <v>1.2351684199496953</v>
      </c>
      <c r="O29" s="29">
        <f t="shared" si="5"/>
        <v>0.86971849262290357</v>
      </c>
      <c r="P29" s="29">
        <f t="shared" si="5"/>
        <v>0.63042517195611547</v>
      </c>
      <c r="Q29" s="29">
        <f t="shared" si="5"/>
        <v>0.63042517195611547</v>
      </c>
      <c r="R29" s="29">
        <f t="shared" si="5"/>
        <v>0.4385290096535146</v>
      </c>
      <c r="S29" s="29">
        <f t="shared" si="5"/>
        <v>0.4385290096535146</v>
      </c>
      <c r="T29" s="29">
        <f t="shared" si="5"/>
        <v>0.63042517195611547</v>
      </c>
      <c r="U29" s="29">
        <f t="shared" si="5"/>
        <v>0.4385290096535146</v>
      </c>
      <c r="V29" s="29">
        <f t="shared" si="5"/>
        <v>0.3755338080994054</v>
      </c>
      <c r="W29" s="29">
        <f t="shared" si="5"/>
        <v>0.63042517195611547</v>
      </c>
      <c r="X29" s="29">
        <f t="shared" si="5"/>
        <v>0.4385290096535146</v>
      </c>
      <c r="Y29" s="29">
        <f t="shared" si="5"/>
        <v>0.96741792204684507</v>
      </c>
      <c r="Z29" s="29">
        <f t="shared" si="5"/>
        <v>0.3755338080994054</v>
      </c>
      <c r="AA29" s="29">
        <f t="shared" si="5"/>
        <v>0.27735009811261452</v>
      </c>
      <c r="AB29" s="29">
        <f t="shared" ref="AB29:AF29" si="6">IFERROR(STDEV(AB6:AB25),"—")</f>
        <v>0.86231649850257674</v>
      </c>
      <c r="AC29" s="29">
        <f t="shared" si="6"/>
        <v>1.0377490433255421</v>
      </c>
      <c r="AD29" s="29">
        <f t="shared" si="6"/>
        <v>0.85485041426511055</v>
      </c>
      <c r="AE29" s="29">
        <f t="shared" si="6"/>
        <v>0.87705801930702898</v>
      </c>
      <c r="AF29" s="29">
        <f t="shared" si="6"/>
        <v>0.65044363558799201</v>
      </c>
      <c r="AG29" s="29">
        <f t="shared" si="5"/>
        <v>0.66022529177352451</v>
      </c>
      <c r="AH29" s="55">
        <f>IFERROR(AVERAGE(H29:AG29),"—")</f>
        <v>0.71212696935465902</v>
      </c>
    </row>
    <row r="30" spans="2:36" ht="19.5" customHeight="1" x14ac:dyDescent="0.25">
      <c r="B30" s="110" t="s">
        <v>121</v>
      </c>
      <c r="C30" s="110"/>
      <c r="D30" s="110"/>
      <c r="E30" s="110"/>
      <c r="F30" s="110"/>
      <c r="G30" s="110"/>
      <c r="H30" s="56">
        <f>IFERROR(_xlfn.MINIFS(H6:H25,H6:H25,"&gt;=1"),"—")</f>
        <v>2</v>
      </c>
      <c r="I30" s="56">
        <f t="shared" ref="I30:AG30" si="7">IFERROR(_xlfn.MINIFS(I6:I25,I6:I25,"&gt;=1"),"—")</f>
        <v>4</v>
      </c>
      <c r="J30" s="56">
        <f t="shared" si="7"/>
        <v>1</v>
      </c>
      <c r="K30" s="56">
        <f t="shared" si="7"/>
        <v>2</v>
      </c>
      <c r="L30" s="56">
        <f t="shared" si="7"/>
        <v>1</v>
      </c>
      <c r="M30" s="56">
        <f t="shared" si="7"/>
        <v>4</v>
      </c>
      <c r="N30" s="56">
        <f t="shared" si="7"/>
        <v>1</v>
      </c>
      <c r="O30" s="56">
        <f t="shared" si="7"/>
        <v>2</v>
      </c>
      <c r="P30" s="56">
        <f t="shared" si="7"/>
        <v>3</v>
      </c>
      <c r="Q30" s="56">
        <f t="shared" si="7"/>
        <v>3</v>
      </c>
      <c r="R30" s="56">
        <f t="shared" si="7"/>
        <v>4</v>
      </c>
      <c r="S30" s="56">
        <f t="shared" si="7"/>
        <v>4</v>
      </c>
      <c r="T30" s="56">
        <f t="shared" si="7"/>
        <v>3</v>
      </c>
      <c r="U30" s="56">
        <f t="shared" si="7"/>
        <v>4</v>
      </c>
      <c r="V30" s="56">
        <f t="shared" si="7"/>
        <v>4</v>
      </c>
      <c r="W30" s="56">
        <f t="shared" si="7"/>
        <v>3</v>
      </c>
      <c r="X30" s="56">
        <f t="shared" si="7"/>
        <v>4</v>
      </c>
      <c r="Y30" s="56">
        <f t="shared" si="7"/>
        <v>2</v>
      </c>
      <c r="Z30" s="56">
        <f t="shared" si="7"/>
        <v>4</v>
      </c>
      <c r="AA30" s="56">
        <f t="shared" si="7"/>
        <v>4</v>
      </c>
      <c r="AB30" s="56">
        <f t="shared" ref="AB30:AF30" si="8">IFERROR(_xlfn.MINIFS(AB6:AB25,AB6:AB25,"&gt;=1"),"—")</f>
        <v>3</v>
      </c>
      <c r="AC30" s="56">
        <f t="shared" si="8"/>
        <v>2</v>
      </c>
      <c r="AD30" s="56">
        <f t="shared" si="8"/>
        <v>3</v>
      </c>
      <c r="AE30" s="56">
        <f t="shared" si="8"/>
        <v>3</v>
      </c>
      <c r="AF30" s="56">
        <f t="shared" si="8"/>
        <v>3</v>
      </c>
      <c r="AG30" s="56">
        <f t="shared" si="7"/>
        <v>3</v>
      </c>
      <c r="AH30" s="55">
        <f>IFERROR(AVERAGE(H30:AG30),"—")</f>
        <v>2.9230769230769229</v>
      </c>
    </row>
    <row r="31" spans="2:36" ht="19.5" customHeight="1" x14ac:dyDescent="0.25">
      <c r="B31" s="110" t="s">
        <v>122</v>
      </c>
      <c r="C31" s="110"/>
      <c r="D31" s="110"/>
      <c r="E31" s="110"/>
      <c r="F31" s="110"/>
      <c r="G31" s="110"/>
      <c r="H31" s="29">
        <f t="shared" ref="H31:AG31" si="9">IFERROR(MAX(H6:H25),"—")</f>
        <v>5</v>
      </c>
      <c r="I31" s="29">
        <f t="shared" si="9"/>
        <v>5</v>
      </c>
      <c r="J31" s="29">
        <f t="shared" si="9"/>
        <v>5</v>
      </c>
      <c r="K31" s="29">
        <f t="shared" si="9"/>
        <v>5</v>
      </c>
      <c r="L31" s="29">
        <f t="shared" si="9"/>
        <v>5</v>
      </c>
      <c r="M31" s="29">
        <f t="shared" si="9"/>
        <v>5</v>
      </c>
      <c r="N31" s="29">
        <f t="shared" si="9"/>
        <v>5</v>
      </c>
      <c r="O31" s="29">
        <f t="shared" si="9"/>
        <v>5</v>
      </c>
      <c r="P31" s="29">
        <f t="shared" si="9"/>
        <v>5</v>
      </c>
      <c r="Q31" s="29">
        <f t="shared" si="9"/>
        <v>5</v>
      </c>
      <c r="R31" s="29">
        <f t="shared" si="9"/>
        <v>5</v>
      </c>
      <c r="S31" s="29">
        <f t="shared" si="9"/>
        <v>5</v>
      </c>
      <c r="T31" s="29">
        <f t="shared" si="9"/>
        <v>5</v>
      </c>
      <c r="U31" s="29">
        <f t="shared" si="9"/>
        <v>5</v>
      </c>
      <c r="V31" s="29">
        <f t="shared" si="9"/>
        <v>5</v>
      </c>
      <c r="W31" s="29">
        <f t="shared" si="9"/>
        <v>5</v>
      </c>
      <c r="X31" s="29">
        <f t="shared" si="9"/>
        <v>5</v>
      </c>
      <c r="Y31" s="29">
        <f t="shared" si="9"/>
        <v>5</v>
      </c>
      <c r="Z31" s="29">
        <f t="shared" si="9"/>
        <v>5</v>
      </c>
      <c r="AA31" s="29">
        <f t="shared" si="9"/>
        <v>5</v>
      </c>
      <c r="AB31" s="29">
        <f t="shared" ref="AB31:AF31" si="10">IFERROR(MAX(AB6:AB25),"—")</f>
        <v>5</v>
      </c>
      <c r="AC31" s="29">
        <f t="shared" si="10"/>
        <v>5</v>
      </c>
      <c r="AD31" s="29">
        <f t="shared" si="10"/>
        <v>5</v>
      </c>
      <c r="AE31" s="29">
        <f t="shared" si="10"/>
        <v>5</v>
      </c>
      <c r="AF31" s="29">
        <f t="shared" si="10"/>
        <v>5</v>
      </c>
      <c r="AG31" s="29">
        <f t="shared" si="9"/>
        <v>5</v>
      </c>
      <c r="AH31" s="55">
        <f>IFERROR(AVERAGE(H31:AG31),"—")</f>
        <v>5</v>
      </c>
    </row>
    <row r="32" spans="2:36" ht="19.5" customHeight="1" x14ac:dyDescent="0.25">
      <c r="B32" s="111" t="s">
        <v>123</v>
      </c>
      <c r="C32" s="111"/>
      <c r="D32" s="111"/>
      <c r="E32" s="111"/>
      <c r="F32" s="111"/>
      <c r="G32" s="111"/>
      <c r="H32" s="57">
        <f t="shared" ref="H32:AG32" si="11">IFERROR(COUNTIF(H6:H25,"&gt;=4")/COUNTIF(H6:H25,"&gt;=1"),"—")</f>
        <v>0.84615384615384615</v>
      </c>
      <c r="I32" s="57">
        <f t="shared" si="11"/>
        <v>1</v>
      </c>
      <c r="J32" s="57">
        <f t="shared" si="11"/>
        <v>0.92307692307692313</v>
      </c>
      <c r="K32" s="57">
        <f t="shared" si="11"/>
        <v>0.92307692307692313</v>
      </c>
      <c r="L32" s="57">
        <f t="shared" si="11"/>
        <v>0.38461538461538464</v>
      </c>
      <c r="M32" s="57">
        <f t="shared" si="11"/>
        <v>1</v>
      </c>
      <c r="N32" s="57">
        <f t="shared" si="11"/>
        <v>0.46153846153846156</v>
      </c>
      <c r="O32" s="57">
        <f t="shared" si="11"/>
        <v>0.92307692307692313</v>
      </c>
      <c r="P32" s="57">
        <f t="shared" si="11"/>
        <v>0.92307692307692313</v>
      </c>
      <c r="Q32" s="57">
        <f t="shared" si="11"/>
        <v>0.92307692307692313</v>
      </c>
      <c r="R32" s="57">
        <f t="shared" si="11"/>
        <v>1</v>
      </c>
      <c r="S32" s="57">
        <f t="shared" si="11"/>
        <v>1</v>
      </c>
      <c r="T32" s="57">
        <f t="shared" si="11"/>
        <v>0.92307692307692313</v>
      </c>
      <c r="U32" s="57">
        <f t="shared" si="11"/>
        <v>1</v>
      </c>
      <c r="V32" s="57">
        <f t="shared" si="11"/>
        <v>1</v>
      </c>
      <c r="W32" s="57">
        <f t="shared" si="11"/>
        <v>0.92307692307692313</v>
      </c>
      <c r="X32" s="57">
        <f t="shared" si="11"/>
        <v>1</v>
      </c>
      <c r="Y32" s="57">
        <f t="shared" si="11"/>
        <v>0.84615384615384615</v>
      </c>
      <c r="Z32" s="57">
        <f t="shared" si="11"/>
        <v>1</v>
      </c>
      <c r="AA32" s="57">
        <f t="shared" si="11"/>
        <v>1</v>
      </c>
      <c r="AB32" s="57">
        <f t="shared" ref="AB32:AF32" si="12">IFERROR(COUNTIF(AB6:AB25,"&gt;=4")/COUNTIF(AB6:AB25,"&gt;=1"),"—")</f>
        <v>0.69230769230769229</v>
      </c>
      <c r="AC32" s="57">
        <f t="shared" si="12"/>
        <v>0.69230769230769229</v>
      </c>
      <c r="AD32" s="57">
        <f t="shared" si="12"/>
        <v>0.76923076923076927</v>
      </c>
      <c r="AE32" s="57">
        <f t="shared" si="12"/>
        <v>0.76923076923076927</v>
      </c>
      <c r="AF32" s="57">
        <f t="shared" si="12"/>
        <v>0.92307692307692313</v>
      </c>
      <c r="AG32" s="57">
        <f t="shared" si="11"/>
        <v>0.92307692307692313</v>
      </c>
      <c r="AH32" s="58">
        <f>IFERROR(AVERAGE(H32:AG32),"—")</f>
        <v>0.87573964497041434</v>
      </c>
    </row>
  </sheetData>
  <mergeCells count="10">
    <mergeCell ref="B2:AJ2"/>
    <mergeCell ref="V3:AA3"/>
    <mergeCell ref="AB3:AG3"/>
    <mergeCell ref="H3:O3"/>
    <mergeCell ref="P3:U3"/>
    <mergeCell ref="B28:G28"/>
    <mergeCell ref="B29:G29"/>
    <mergeCell ref="B30:G30"/>
    <mergeCell ref="B31:G31"/>
    <mergeCell ref="B32:G32"/>
  </mergeCells>
  <phoneticPr fontId="21" type="noConversion"/>
  <dataValidations count="1">
    <dataValidation type="whole" errorTitle="Valor inválido" error="Solo valores del 1 al 5" promptTitle="Escala Likert" prompt="Ingrese 1, 2, 3, 4 o 5" sqref="H6:AG25" xr:uid="{00000000-0002-0000-04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33"/>
  <sheetViews>
    <sheetView tabSelected="1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2" sqref="F12"/>
    </sheetView>
  </sheetViews>
  <sheetFormatPr baseColWidth="10" defaultColWidth="8.7109375" defaultRowHeight="15" x14ac:dyDescent="0.25"/>
  <cols>
    <col min="1" max="1" width="3" customWidth="1"/>
    <col min="2" max="2" width="5" customWidth="1"/>
    <col min="3" max="3" width="40" customWidth="1"/>
    <col min="4" max="8" width="14" customWidth="1"/>
    <col min="9" max="9" width="18" customWidth="1"/>
  </cols>
  <sheetData>
    <row r="1" spans="2:9" ht="9.75" customHeight="1" x14ac:dyDescent="0.25"/>
    <row r="2" spans="2:9" ht="36" customHeight="1" x14ac:dyDescent="0.25">
      <c r="B2" s="105" t="s">
        <v>194</v>
      </c>
      <c r="C2" s="105"/>
      <c r="D2" s="105"/>
      <c r="E2" s="105"/>
      <c r="F2" s="105"/>
      <c r="G2" s="105"/>
      <c r="H2" s="105"/>
      <c r="I2" s="105"/>
    </row>
    <row r="4" spans="2:9" ht="39.75" customHeight="1" x14ac:dyDescent="0.25">
      <c r="B4" s="59" t="s">
        <v>195</v>
      </c>
      <c r="C4" s="59" t="s">
        <v>196</v>
      </c>
      <c r="D4" s="59" t="s">
        <v>197</v>
      </c>
      <c r="E4" s="59" t="s">
        <v>198</v>
      </c>
      <c r="F4" s="59" t="s">
        <v>199</v>
      </c>
      <c r="G4" s="59" t="s">
        <v>405</v>
      </c>
      <c r="H4" s="59" t="s">
        <v>200</v>
      </c>
      <c r="I4" s="59" t="s">
        <v>201</v>
      </c>
    </row>
    <row r="5" spans="2:9" ht="21.75" customHeight="1" x14ac:dyDescent="0.25">
      <c r="B5" s="104" t="s">
        <v>202</v>
      </c>
      <c r="C5" s="104"/>
      <c r="D5" s="104"/>
      <c r="E5" s="104"/>
      <c r="F5" s="104"/>
      <c r="G5" s="104"/>
      <c r="H5" s="104"/>
      <c r="I5" s="104"/>
    </row>
    <row r="6" spans="2:9" ht="19.5" customHeight="1" x14ac:dyDescent="0.25">
      <c r="B6" s="60">
        <v>1</v>
      </c>
      <c r="C6" s="2" t="s">
        <v>203</v>
      </c>
      <c r="D6" s="61">
        <f>IFERROR('P1 1'!H28,"—")</f>
        <v>4</v>
      </c>
      <c r="E6" s="62">
        <f>IFERROR('P2 2'!H28,"—")</f>
        <v>3</v>
      </c>
      <c r="F6" s="63">
        <f>IFERROR('P3 3'!H28,"—")</f>
        <v>4.25</v>
      </c>
      <c r="G6" s="64">
        <f>IFERROR('P4 4'!AE28,"—")</f>
        <v>4.4615384615384617</v>
      </c>
      <c r="H6" s="65">
        <f>IFERROR(AVERAGE(D6:G6),"—")</f>
        <v>3.9278846153846154</v>
      </c>
      <c r="I6" s="60" t="str">
        <f>IFERROR(IF(H6&gt;=4,"🔴 Alta",IF(H6&gt;=3,"🟡 Media","🟢 Baja")),"")</f>
        <v>🟡 Media</v>
      </c>
    </row>
    <row r="7" spans="2:9" ht="19.5" customHeight="1" x14ac:dyDescent="0.25">
      <c r="B7" s="66">
        <v>2</v>
      </c>
      <c r="C7" s="3" t="s">
        <v>204</v>
      </c>
      <c r="D7" s="61">
        <f>IFERROR('P1 1'!I28,"—")</f>
        <v>5</v>
      </c>
      <c r="E7" s="62">
        <f>IFERROR('P2 2'!I28,"—")</f>
        <v>4.666666666666667</v>
      </c>
      <c r="F7" s="63">
        <f>IFERROR('P3 3'!I28,"—")</f>
        <v>3.75</v>
      </c>
      <c r="G7" s="64">
        <f>IFERROR('P4 4'!AC28,"—")</f>
        <v>4.0769230769230766</v>
      </c>
      <c r="H7" s="65">
        <f>IFERROR(AVERAGE(D7:G7),"—")</f>
        <v>4.3733974358974361</v>
      </c>
      <c r="I7" s="66" t="str">
        <f>IFERROR(IF(H7&gt;=4,"🔴 Alta",IF(H7&gt;=3,"🟡 Media","🟢 Baja")),"")</f>
        <v>🔴 Alta</v>
      </c>
    </row>
    <row r="8" spans="2:9" ht="19.5" customHeight="1" x14ac:dyDescent="0.25">
      <c r="B8" s="60">
        <v>3</v>
      </c>
      <c r="C8" s="2" t="s">
        <v>205</v>
      </c>
      <c r="D8" s="61">
        <f>IFERROR('P1 1'!J28,"—")</f>
        <v>3.3333333333333335</v>
      </c>
      <c r="E8" s="62">
        <f>IFERROR('P2 2'!J28,"—")</f>
        <v>4.666666666666667</v>
      </c>
      <c r="F8" s="63">
        <f>IFERROR('P3 3'!J28,"—")</f>
        <v>5</v>
      </c>
      <c r="G8" s="64">
        <f>IFERROR('P4 4'!AE28,"—")</f>
        <v>4.4615384615384617</v>
      </c>
      <c r="H8" s="65">
        <f>IFERROR(AVERAGE(D8:G8),"—")</f>
        <v>4.365384615384615</v>
      </c>
      <c r="I8" s="60" t="str">
        <f>IFERROR(IF(H8&gt;=4,"🔴 Alta",IF(H8&gt;=3,"🟡 Media","🟢 Baja")),"")</f>
        <v>🔴 Alta</v>
      </c>
    </row>
    <row r="9" spans="2:9" ht="19.5" customHeight="1" x14ac:dyDescent="0.25">
      <c r="B9" s="66">
        <v>4</v>
      </c>
      <c r="C9" s="3" t="s">
        <v>206</v>
      </c>
      <c r="D9" s="61">
        <f>IFERROR('P1 1'!K28,"—")</f>
        <v>4</v>
      </c>
      <c r="E9" s="62">
        <f>IFERROR('P2 2'!K28,"—")</f>
        <v>3.6666666666666665</v>
      </c>
      <c r="F9" s="63">
        <f>IFERROR('P3 3'!K28,"—")</f>
        <v>4.25</v>
      </c>
      <c r="G9" s="64">
        <f>IFERROR('P4 4'!AF28,"—")</f>
        <v>4.615384615384615</v>
      </c>
      <c r="H9" s="65">
        <f>IFERROR(AVERAGE(D9:G9),"—")</f>
        <v>4.1330128205128203</v>
      </c>
      <c r="I9" s="66" t="str">
        <f>IFERROR(IF(H9&gt;=4,"🔴 Alta",IF(H9&gt;=3,"🟡 Media","🟢 Baja")),"")</f>
        <v>🔴 Alta</v>
      </c>
    </row>
    <row r="10" spans="2:9" ht="19.5" customHeight="1" x14ac:dyDescent="0.25">
      <c r="B10" s="60">
        <v>5</v>
      </c>
      <c r="C10" s="99" t="s">
        <v>207</v>
      </c>
      <c r="D10" s="61">
        <f>IFERROR('P1 1'!L28,"—")</f>
        <v>5</v>
      </c>
      <c r="E10" s="62">
        <f>IFERROR('P2 2'!L28,"—")</f>
        <v>2.6666666666666665</v>
      </c>
      <c r="F10" s="63">
        <f>IFERROR('P3 3'!L28,"—")</f>
        <v>1.5</v>
      </c>
      <c r="G10" s="64">
        <f>IFERROR('P4 4'!H28,"—")</f>
        <v>4.384615384615385</v>
      </c>
      <c r="H10" s="65">
        <f>IFERROR(AVERAGE(D10:G10),"—")</f>
        <v>3.3878205128205128</v>
      </c>
      <c r="I10" s="60" t="str">
        <f>IFERROR(IF(H10&gt;=4,"🔴 Alta",IF(H10&gt;=3,"🟡 Media","🟢 Baja")),"")</f>
        <v>🟡 Media</v>
      </c>
    </row>
    <row r="11" spans="2:9" ht="21.75" customHeight="1" x14ac:dyDescent="0.25">
      <c r="B11" s="104" t="s">
        <v>208</v>
      </c>
      <c r="C11" s="104"/>
      <c r="D11" s="104"/>
      <c r="E11" s="104"/>
      <c r="F11" s="104"/>
      <c r="G11" s="104"/>
      <c r="H11" s="104"/>
      <c r="I11" s="104"/>
    </row>
    <row r="12" spans="2:9" ht="19.5" customHeight="1" x14ac:dyDescent="0.25">
      <c r="B12" s="66">
        <v>6</v>
      </c>
      <c r="C12" s="3" t="s">
        <v>356</v>
      </c>
      <c r="D12" s="61">
        <f>IFERROR('P1 1'!M28,"—")</f>
        <v>4</v>
      </c>
      <c r="E12" s="62">
        <f>IFERROR('P2 2'!M28,"—")</f>
        <v>5</v>
      </c>
      <c r="F12" s="63">
        <f>IFERROR('P3 3'!M28,"—")</f>
        <v>2.5</v>
      </c>
      <c r="G12" s="64">
        <f>IFERROR('P4 4'!AB28,"—")</f>
        <v>4.0769230769230766</v>
      </c>
      <c r="H12" s="65">
        <f>IFERROR(AVERAGE(D12:G12),"—")</f>
        <v>3.8942307692307692</v>
      </c>
      <c r="I12" s="66" t="str">
        <f>IFERROR(IF(H12&gt;=4,"🔴 Alta",IF(H12&gt;=3,"🟡 Media","🟢 Baja")),"")</f>
        <v>🟡 Media</v>
      </c>
    </row>
    <row r="13" spans="2:9" ht="19.5" customHeight="1" x14ac:dyDescent="0.25">
      <c r="B13" s="60">
        <v>7</v>
      </c>
      <c r="C13" s="2" t="s">
        <v>210</v>
      </c>
      <c r="D13" s="61">
        <f>IFERROR('P1 1'!N28,"—")</f>
        <v>4.333333333333333</v>
      </c>
      <c r="E13" s="62">
        <f>IFERROR('P2 2'!N28,"—")</f>
        <v>5</v>
      </c>
      <c r="F13" s="63">
        <f>IFERROR('P3 3'!N28,"—")</f>
        <v>3.75</v>
      </c>
      <c r="G13" s="64">
        <f>IFERROR('P4 4'!AD28,"—")</f>
        <v>4.3076923076923075</v>
      </c>
      <c r="H13" s="65">
        <f>IFERROR(AVERAGE(D13:G13),"—")</f>
        <v>4.3477564102564097</v>
      </c>
      <c r="I13" s="60" t="str">
        <f>IFERROR(IF(H13&gt;=4,"🔴 Alta",IF(H13&gt;=3,"🟡 Media","🟢 Baja")),"")</f>
        <v>🔴 Alta</v>
      </c>
    </row>
    <row r="14" spans="2:9" ht="19.5" customHeight="1" x14ac:dyDescent="0.25">
      <c r="B14" s="66">
        <v>8</v>
      </c>
      <c r="C14" s="3" t="s">
        <v>211</v>
      </c>
      <c r="D14" s="61">
        <f>IFERROR('P1 1'!O28,"—")</f>
        <v>4.333333333333333</v>
      </c>
      <c r="E14" s="62">
        <f>IFERROR('P2 2'!O28,"—")</f>
        <v>3.6666666666666665</v>
      </c>
      <c r="F14" s="63">
        <f>IFERROR('P3 3'!O28,"—")</f>
        <v>3.5</v>
      </c>
      <c r="G14" s="64">
        <f>IFERROR('P4 4'!AF28,"—")</f>
        <v>4.615384615384615</v>
      </c>
      <c r="H14" s="65">
        <f>IFERROR(AVERAGE(D14:G14),"—")</f>
        <v>4.0288461538461533</v>
      </c>
      <c r="I14" s="66" t="str">
        <f>IFERROR(IF(H14&gt;=4,"🔴 Alta",IF(H14&gt;=3,"🟡 Media","🟢 Baja")),"")</f>
        <v>🔴 Alta</v>
      </c>
    </row>
    <row r="15" spans="2:9" ht="19.5" customHeight="1" x14ac:dyDescent="0.25">
      <c r="B15" s="60">
        <v>9</v>
      </c>
      <c r="C15" s="2" t="s">
        <v>212</v>
      </c>
      <c r="D15" s="61">
        <f>IFERROR('P1 1'!P28,"—")</f>
        <v>4</v>
      </c>
      <c r="E15" s="62">
        <f>IFERROR('P2 2'!P28,"—")</f>
        <v>3</v>
      </c>
      <c r="F15" s="63">
        <f>IFERROR('P3 3'!P28,"—")</f>
        <v>4</v>
      </c>
      <c r="G15" s="64">
        <f>IFERROR('P4 4'!AD28,"—")</f>
        <v>4.3076923076923075</v>
      </c>
      <c r="H15" s="65">
        <f>IFERROR(AVERAGE(D15:G15),"—")</f>
        <v>3.8269230769230766</v>
      </c>
      <c r="I15" s="60" t="str">
        <f>IFERROR(IF(H15&gt;=4,"🔴 Alta",IF(H15&gt;=3,"🟡 Media","🟢 Baja")),"")</f>
        <v>🟡 Media</v>
      </c>
    </row>
    <row r="16" spans="2:9" ht="19.5" customHeight="1" x14ac:dyDescent="0.25">
      <c r="B16" s="66">
        <v>10</v>
      </c>
      <c r="C16" s="3" t="s">
        <v>213</v>
      </c>
      <c r="D16" s="61">
        <f>IFERROR('P1 1'!Q28,"—")</f>
        <v>5</v>
      </c>
      <c r="E16" s="62">
        <f>IFERROR('P2 2'!Q28,"—")</f>
        <v>4.333333333333333</v>
      </c>
      <c r="F16" s="63">
        <f>IFERROR('P3 3'!Q28,"—")</f>
        <v>3.5</v>
      </c>
      <c r="G16" s="64">
        <f>IFERROR('P4 4'!AG28,"—")</f>
        <v>4.5384615384615383</v>
      </c>
      <c r="H16" s="65">
        <f>IFERROR(AVERAGE(D16:G16),"—")</f>
        <v>4.3429487179487172</v>
      </c>
      <c r="I16" s="66" t="str">
        <f>IFERROR(IF(H16&gt;=4,"🔴 Alta",IF(H16&gt;=3,"🟡 Media","🟢 Baja")),"")</f>
        <v>🔴 Alta</v>
      </c>
    </row>
    <row r="17" spans="2:9" ht="21.75" customHeight="1" x14ac:dyDescent="0.25">
      <c r="B17" s="104" t="s">
        <v>214</v>
      </c>
      <c r="C17" s="104"/>
      <c r="D17" s="104"/>
      <c r="E17" s="104"/>
      <c r="F17" s="104"/>
      <c r="G17" s="104"/>
      <c r="H17" s="104"/>
      <c r="I17" s="104"/>
    </row>
    <row r="18" spans="2:9" ht="19.5" customHeight="1" x14ac:dyDescent="0.25">
      <c r="B18" s="60">
        <v>11</v>
      </c>
      <c r="C18" s="2" t="s">
        <v>215</v>
      </c>
      <c r="D18" s="61">
        <f>IFERROR('P1 1'!R28,"—")</f>
        <v>1.6666666666666667</v>
      </c>
      <c r="E18" s="62">
        <f>IFERROR('P2 2'!R28,"—")</f>
        <v>3.3333333333333335</v>
      </c>
      <c r="F18" s="63">
        <f>IFERROR('P3 3'!R28,"—")</f>
        <v>3.5</v>
      </c>
      <c r="G18" s="64">
        <f>IFERROR('P4 4'!K28,"—")</f>
        <v>4.4615384615384617</v>
      </c>
      <c r="H18" s="65">
        <f>IFERROR(AVERAGE(D18:G18),"—")</f>
        <v>3.2403846153846154</v>
      </c>
      <c r="I18" s="60" t="str">
        <f>IFERROR(IF(H18&gt;=4,"🔴 Alta",IF(H18&gt;=3,"🟡 Media","🟢 Baja")),"")</f>
        <v>🟡 Media</v>
      </c>
    </row>
    <row r="19" spans="2:9" ht="19.5" customHeight="1" x14ac:dyDescent="0.25">
      <c r="B19" s="66">
        <v>12</v>
      </c>
      <c r="C19" s="3" t="s">
        <v>216</v>
      </c>
      <c r="D19" s="61">
        <f>IFERROR('P1 1'!S28,"—")</f>
        <v>1.6666666666666667</v>
      </c>
      <c r="E19" s="62">
        <f>IFERROR('P2 2'!S28,"—")</f>
        <v>3.3333333333333335</v>
      </c>
      <c r="F19" s="63">
        <f>IFERROR('P3 3'!S28,"—")</f>
        <v>3.5</v>
      </c>
      <c r="G19" s="64">
        <f>IFERROR('P4 4'!O28,"—")</f>
        <v>4.384615384615385</v>
      </c>
      <c r="H19" s="65">
        <f>IFERROR(AVERAGE(D19:G19),"—")</f>
        <v>3.2211538461538463</v>
      </c>
      <c r="I19" s="66" t="str">
        <f>IFERROR(IF(H19&gt;=4,"🔴 Alta",IF(H19&gt;=3,"🟡 Media","🟢 Baja")),"")</f>
        <v>🟡 Media</v>
      </c>
    </row>
    <row r="20" spans="2:9" ht="19.5" customHeight="1" x14ac:dyDescent="0.25">
      <c r="B20" s="60">
        <v>13</v>
      </c>
      <c r="C20" s="2" t="s">
        <v>217</v>
      </c>
      <c r="D20" s="61">
        <f>IFERROR('P1 1'!T28,"—")</f>
        <v>4.666666666666667</v>
      </c>
      <c r="E20" s="62">
        <f>IFERROR('P2 2'!T28,"—")</f>
        <v>4.666666666666667</v>
      </c>
      <c r="F20" s="63">
        <f>IFERROR('P3 3'!T28,"—")</f>
        <v>4.5</v>
      </c>
      <c r="G20" s="64">
        <f>IFERROR('P4 4'!AC28,"—")</f>
        <v>4.0769230769230766</v>
      </c>
      <c r="H20" s="65">
        <f>IFERROR(AVERAGE(D20:G20),"—")</f>
        <v>4.4775641025641022</v>
      </c>
      <c r="I20" s="60" t="str">
        <f>IFERROR(IF(H20&gt;=4,"🔴 Alta",IF(H20&gt;=3,"🟡 Media","🟢 Baja")),"")</f>
        <v>🔴 Alta</v>
      </c>
    </row>
    <row r="21" spans="2:9" ht="19.5" customHeight="1" x14ac:dyDescent="0.25">
      <c r="B21" s="66">
        <v>14</v>
      </c>
      <c r="C21" s="3" t="s">
        <v>218</v>
      </c>
      <c r="D21" s="61">
        <f>IFERROR('P1 1'!U28,"—")</f>
        <v>2.6666666666666665</v>
      </c>
      <c r="E21" s="62">
        <f>IFERROR('P2 2'!U28,"—")</f>
        <v>2.3333333333333335</v>
      </c>
      <c r="F21" s="63">
        <f>IFERROR('P3 3'!U28,"—")</f>
        <v>3.25</v>
      </c>
      <c r="G21" s="64">
        <f>(IFERROR('P4 4'!L28,"—")+IFERROR('P4 4'!P28,"—")+IFERROR('P4 4'!Q28,"—")+IFERROR('P4 4'!R28,"—")+IFERROR('P4 4'!Y28,"—")+IFERROR('P4 4'!Z28,"—"))/6</f>
        <v>4.4615384615384626</v>
      </c>
      <c r="H21" s="65">
        <f>IFERROR(AVERAGE(D21:G21),"—")</f>
        <v>3.1778846153846159</v>
      </c>
      <c r="I21" s="66" t="str">
        <f>IFERROR(IF(H21&gt;=4,"🔴 Alta",IF(H21&gt;=3,"🟡 Media","🟢 Baja")),"")</f>
        <v>🟡 Media</v>
      </c>
    </row>
    <row r="22" spans="2:9" ht="19.5" customHeight="1" x14ac:dyDescent="0.25">
      <c r="B22" s="60">
        <v>15</v>
      </c>
      <c r="C22" s="2" t="s">
        <v>219</v>
      </c>
      <c r="D22" s="61">
        <f>IFERROR('P1 1'!V28,"—")</f>
        <v>2.6666666666666665</v>
      </c>
      <c r="E22" s="62">
        <f>IFERROR('P2 2'!V28,"—")</f>
        <v>4.333333333333333</v>
      </c>
      <c r="F22" s="63">
        <f>IFERROR('P3 3'!V28,"—")</f>
        <v>4.75</v>
      </c>
      <c r="G22" s="64">
        <f>IFERROR('P4 4'!X28,"—")</f>
        <v>4.7692307692307692</v>
      </c>
      <c r="H22" s="65">
        <f>IFERROR(AVERAGE(D22:G22),"—")</f>
        <v>4.1298076923076925</v>
      </c>
      <c r="I22" s="60" t="str">
        <f>IFERROR(IF(H22&gt;=4,"🔴 Alta",IF(H22&gt;=3,"🟡 Media","🟢 Baja")),"")</f>
        <v>🔴 Alta</v>
      </c>
    </row>
    <row r="23" spans="2:9" ht="21.75" customHeight="1" x14ac:dyDescent="0.25">
      <c r="B23" s="104" t="s">
        <v>220</v>
      </c>
      <c r="C23" s="104"/>
      <c r="D23" s="104"/>
      <c r="E23" s="104"/>
      <c r="F23" s="104"/>
      <c r="G23" s="104"/>
      <c r="H23" s="104"/>
      <c r="I23" s="104"/>
    </row>
    <row r="24" spans="2:9" ht="19.5" customHeight="1" x14ac:dyDescent="0.25">
      <c r="B24" s="66">
        <v>16</v>
      </c>
      <c r="C24" s="3" t="s">
        <v>221</v>
      </c>
      <c r="D24" s="61">
        <f>IFERROR('P1 1'!W28,"—")</f>
        <v>1.6666666666666667</v>
      </c>
      <c r="E24" s="62">
        <f>IFERROR('P2 2'!W28,"—")</f>
        <v>3.3333333333333335</v>
      </c>
      <c r="F24" s="63">
        <f>IFERROR('P3 3'!W28,"—")</f>
        <v>3</v>
      </c>
      <c r="G24" s="64">
        <f>IFERROR('P4 4'!U28,"—")</f>
        <v>4.7692307692307692</v>
      </c>
      <c r="H24" s="65">
        <f>IFERROR(AVERAGE(D24:G24),"—")</f>
        <v>3.1923076923076925</v>
      </c>
      <c r="I24" s="66" t="str">
        <f>IFERROR(IF(H24&gt;=4,"🔴 Alta",IF(H24&gt;=3,"🟡 Media","🟢 Baja")),"")</f>
        <v>🟡 Media</v>
      </c>
    </row>
    <row r="25" spans="2:9" ht="19.5" customHeight="1" x14ac:dyDescent="0.25">
      <c r="B25" s="60">
        <v>17</v>
      </c>
      <c r="C25" s="2" t="s">
        <v>222</v>
      </c>
      <c r="D25" s="61">
        <f>IFERROR('P1 1'!X28,"—")</f>
        <v>3.6666666666666665</v>
      </c>
      <c r="E25" s="62">
        <f>IFERROR('P2 2'!X28,"—")</f>
        <v>5</v>
      </c>
      <c r="F25" s="63">
        <f>IFERROR('P3 3'!X28,"—")</f>
        <v>4.75</v>
      </c>
      <c r="G25" s="64">
        <f>IFERROR('P4 4'!W28,"—")</f>
        <v>4.6923076923076925</v>
      </c>
      <c r="H25" s="65">
        <f>IFERROR(AVERAGE(D25:G25),"—")</f>
        <v>4.5272435897435894</v>
      </c>
      <c r="I25" s="60" t="str">
        <f>IFERROR(IF(H25&gt;=4,"🔴 Alta",IF(H25&gt;=3,"🟡 Media","🟢 Baja")),"")</f>
        <v>🔴 Alta</v>
      </c>
    </row>
    <row r="26" spans="2:9" ht="19.5" customHeight="1" x14ac:dyDescent="0.25">
      <c r="B26" s="66">
        <v>18</v>
      </c>
      <c r="C26" s="3" t="s">
        <v>223</v>
      </c>
      <c r="D26" s="61">
        <f>IFERROR('P1 1'!Y28,"—")</f>
        <v>3</v>
      </c>
      <c r="E26" s="62">
        <f>IFERROR('P2 2'!Y28,"—")</f>
        <v>5</v>
      </c>
      <c r="F26" s="63">
        <f>IFERROR('P3 3'!Y28,"—")</f>
        <v>3.5</v>
      </c>
      <c r="G26" s="64">
        <f>IFERROR('P4 4'!Z28,"—")</f>
        <v>4.8461538461538458</v>
      </c>
      <c r="H26" s="65">
        <f>IFERROR(AVERAGE(D26:G26),"—")</f>
        <v>4.0865384615384617</v>
      </c>
      <c r="I26" s="66" t="str">
        <f>IFERROR(IF(H26&gt;=4,"🔴 Alta",IF(H26&gt;=3,"🟡 Media","🟢 Baja")),"")</f>
        <v>🔴 Alta</v>
      </c>
    </row>
    <row r="27" spans="2:9" ht="19.5" customHeight="1" x14ac:dyDescent="0.25">
      <c r="B27" s="60">
        <v>19</v>
      </c>
      <c r="C27" s="2" t="s">
        <v>224</v>
      </c>
      <c r="D27" s="61">
        <f>IFERROR('P1 1'!Z28,"—")</f>
        <v>3.3333333333333335</v>
      </c>
      <c r="E27" s="62">
        <f>IFERROR('P2 2'!Z28,"—")</f>
        <v>4.333333333333333</v>
      </c>
      <c r="F27" s="63">
        <f>IFERROR('P3 3'!Z28,"—")</f>
        <v>3.75</v>
      </c>
      <c r="G27" s="64">
        <f>IFERROR('P4 4'!W28,"—")</f>
        <v>4.6923076923076925</v>
      </c>
      <c r="H27" s="65">
        <f>IFERROR(AVERAGE(D27:G27),"—")</f>
        <v>4.0272435897435894</v>
      </c>
      <c r="I27" s="60" t="str">
        <f>IFERROR(IF(H27&gt;=4,"🔴 Alta",IF(H27&gt;=3,"🟡 Media","🟢 Baja")),"")</f>
        <v>🔴 Alta</v>
      </c>
    </row>
    <row r="28" spans="2:9" ht="18" customHeight="1" x14ac:dyDescent="0.25">
      <c r="B28" s="66">
        <v>20</v>
      </c>
      <c r="C28" s="3" t="s">
        <v>225</v>
      </c>
      <c r="D28" s="61">
        <f>IFERROR('P1 1'!AA28,"—")</f>
        <v>1.6666666666666667</v>
      </c>
      <c r="E28" s="62">
        <f>IFERROR('P2 2'!AA28,"—")</f>
        <v>3</v>
      </c>
      <c r="F28" s="63">
        <f>IFERROR('P3 3'!AA28,"—")</f>
        <v>2</v>
      </c>
      <c r="G28" s="100" t="s">
        <v>413</v>
      </c>
      <c r="H28" s="65">
        <f>IFERROR(AVERAGE(D28:G28),"—")</f>
        <v>2.2222222222222223</v>
      </c>
      <c r="I28" s="66" t="str">
        <f>IFERROR(IF(H28&gt;=4,"🔴 Alta",IF(H28&gt;=3,"🟡 Media","🟢 Baja")),"")</f>
        <v>🟢 Baja</v>
      </c>
    </row>
    <row r="29" spans="2:9" ht="18" customHeight="1" x14ac:dyDescent="0.25">
      <c r="B29" s="103" t="s">
        <v>412</v>
      </c>
      <c r="C29" s="104"/>
      <c r="D29" s="104"/>
      <c r="E29" s="104"/>
      <c r="F29" s="104"/>
      <c r="G29" s="104"/>
      <c r="H29" s="104"/>
      <c r="I29" s="104"/>
    </row>
    <row r="30" spans="2:9" ht="18" customHeight="1" x14ac:dyDescent="0.25">
      <c r="B30" s="66">
        <v>21</v>
      </c>
      <c r="C30" s="2" t="s">
        <v>408</v>
      </c>
      <c r="D30" s="61"/>
      <c r="E30" s="62"/>
      <c r="F30" s="63"/>
      <c r="G30" s="64">
        <f>(IFERROR('P4 4'!I28,"—")+IFERROR('P4 4'!J28,"—")+IFERROR('P4 4'!V28,"—")+IFERROR('P4 4'!AA28,"—"))/4</f>
        <v>4.7115384615384617</v>
      </c>
      <c r="H30" s="65">
        <f>IFERROR(AVERAGE(D30:G30),"—")</f>
        <v>4.7115384615384617</v>
      </c>
      <c r="I30" s="66" t="str">
        <f>IFERROR(IF(H30&gt;=4,"🔴 Alta",IF(H30&gt;=3,"🟡 Media","🟢 Baja")),"")</f>
        <v>🔴 Alta</v>
      </c>
    </row>
    <row r="31" spans="2:9" ht="18" customHeight="1" x14ac:dyDescent="0.25">
      <c r="B31" s="66">
        <v>22</v>
      </c>
      <c r="C31" s="99" t="s">
        <v>411</v>
      </c>
      <c r="D31" s="61"/>
      <c r="E31" s="62"/>
      <c r="F31" s="63"/>
      <c r="G31" s="64">
        <f>IFERROR('P4 4'!S28,"—")</f>
        <v>4.7692307692307692</v>
      </c>
      <c r="H31" s="65">
        <f t="shared" ref="H31:H33" si="0">IFERROR(AVERAGE(D31:G31),"—")</f>
        <v>4.7692307692307692</v>
      </c>
      <c r="I31" s="66" t="str">
        <f t="shared" ref="I31:I33" si="1">IFERROR(IF(H31&gt;=4,"🔴 Alta",IF(H31&gt;=3,"🟡 Media","🟢 Baja")),"")</f>
        <v>🔴 Alta</v>
      </c>
    </row>
    <row r="32" spans="2:9" ht="18" customHeight="1" x14ac:dyDescent="0.25">
      <c r="B32" s="66">
        <v>23</v>
      </c>
      <c r="C32" s="99" t="s">
        <v>409</v>
      </c>
      <c r="D32" s="61"/>
      <c r="E32" s="62"/>
      <c r="F32" s="63"/>
      <c r="G32" s="64">
        <f>IFERROR('P4 4'!T28,"—")</f>
        <v>4.6923076923076925</v>
      </c>
      <c r="H32" s="65">
        <f t="shared" si="0"/>
        <v>4.6923076923076925</v>
      </c>
      <c r="I32" s="66" t="str">
        <f t="shared" si="1"/>
        <v>🔴 Alta</v>
      </c>
    </row>
    <row r="33" spans="2:9" ht="18" customHeight="1" x14ac:dyDescent="0.25">
      <c r="B33" s="66">
        <v>24</v>
      </c>
      <c r="C33" s="99" t="s">
        <v>410</v>
      </c>
      <c r="D33" s="61"/>
      <c r="E33" s="62"/>
      <c r="F33" s="63"/>
      <c r="G33" s="64">
        <f>IFERROR('P4 4'!O28,"—")</f>
        <v>4.384615384615385</v>
      </c>
      <c r="H33" s="65">
        <f t="shared" si="0"/>
        <v>4.384615384615385</v>
      </c>
      <c r="I33" s="66" t="str">
        <f t="shared" si="1"/>
        <v>🔴 Alta</v>
      </c>
    </row>
  </sheetData>
  <mergeCells count="6">
    <mergeCell ref="B29:I29"/>
    <mergeCell ref="B2:I2"/>
    <mergeCell ref="B5:I5"/>
    <mergeCell ref="B11:I11"/>
    <mergeCell ref="B17:I17"/>
    <mergeCell ref="B23:I2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31" sqref="G31"/>
    </sheetView>
  </sheetViews>
  <sheetFormatPr baseColWidth="10" defaultColWidth="8.7109375" defaultRowHeight="15" x14ac:dyDescent="0.25"/>
  <cols>
    <col min="1" max="1" width="3" customWidth="1"/>
    <col min="2" max="2" width="38" customWidth="1"/>
    <col min="3" max="7" width="16" customWidth="1"/>
  </cols>
  <sheetData>
    <row r="2" spans="2:7" ht="36" customHeight="1" x14ac:dyDescent="0.25">
      <c r="B2" s="126" t="s">
        <v>226</v>
      </c>
      <c r="C2" s="126"/>
      <c r="D2" s="126"/>
      <c r="E2" s="126"/>
      <c r="F2" s="126"/>
      <c r="G2" s="126"/>
    </row>
    <row r="4" spans="2:7" ht="36" customHeight="1" x14ac:dyDescent="0.25">
      <c r="B4" s="59" t="s">
        <v>227</v>
      </c>
      <c r="C4" s="5" t="s">
        <v>228</v>
      </c>
      <c r="D4" s="7" t="s">
        <v>229</v>
      </c>
      <c r="E4" s="9" t="s">
        <v>230</v>
      </c>
      <c r="F4" s="11" t="s">
        <v>404</v>
      </c>
      <c r="G4" s="67" t="s">
        <v>231</v>
      </c>
    </row>
    <row r="5" spans="2:7" ht="21.75" customHeight="1" x14ac:dyDescent="0.25">
      <c r="B5" s="68" t="s">
        <v>46</v>
      </c>
      <c r="C5" s="69">
        <f>IFERROR(AVERAGE('P1 1'!H28,'P1 1'!I28,'P1 1'!J28,'P1 1'!K28,'P1 1'!L28),"—")</f>
        <v>4.2666666666666675</v>
      </c>
      <c r="D5" s="70">
        <f>IFERROR(AVERAGE('P2 2'!H28,'P2 2'!I28,'P2 2'!J28,'P2 2'!K28,'P2 2'!L28),"—")</f>
        <v>3.7333333333333334</v>
      </c>
      <c r="E5" s="71">
        <f>IFERROR(AVERAGE('P3 3'!H28,'P3 3'!I28,'P3 3'!J28,'P3 3'!K28,'P3 3'!L28),"—")</f>
        <v>3.75</v>
      </c>
      <c r="F5" s="72">
        <f>IFERROR(AVERAGE('P4 4'!H28,'P4 4'!I28,'P4 4'!J28,'P4 4'!K28,'P4 4'!L28),"—")</f>
        <v>4.2461538461538462</v>
      </c>
      <c r="G5" s="73">
        <f>IFERROR(MAX(C5:F5)-MIN(C5:F5),"—")</f>
        <v>0.5333333333333341</v>
      </c>
    </row>
    <row r="6" spans="2:7" ht="21.75" customHeight="1" x14ac:dyDescent="0.25">
      <c r="B6" s="68" t="s">
        <v>232</v>
      </c>
      <c r="C6" s="69">
        <f>IFERROR(AVERAGE('P1 1'!M28,'P1 1'!N28,'P1 1'!O28,'P1 1'!P28,'P1 1'!Q28),"—")</f>
        <v>4.333333333333333</v>
      </c>
      <c r="D6" s="70">
        <f>IFERROR(AVERAGE('P2 2'!M28,'P2 2'!N28,'P2 2'!O28,'P2 2'!P28,'P2 2'!Q28),"—")</f>
        <v>4.1999999999999993</v>
      </c>
      <c r="E6" s="71">
        <f>IFERROR(AVERAGE('P3 3'!M28,'P3 3'!N28,'P3 3'!O28,'P3 3'!P28,'P3 3'!Q28),"—")</f>
        <v>3.45</v>
      </c>
      <c r="F6" s="72">
        <f>IFERROR(AVERAGE('P4 4'!M28,'P4 4'!N28,'P4 4'!O28,'P4 4'!Q28,'P4 4'!R28),"—")</f>
        <v>4.338461538461539</v>
      </c>
      <c r="G6" s="73">
        <f>IFERROR(MAX(C6:F6)-MIN(C6:F6),"—")</f>
        <v>0.88846153846153886</v>
      </c>
    </row>
    <row r="7" spans="2:7" ht="21.75" customHeight="1" x14ac:dyDescent="0.25">
      <c r="B7" s="68" t="s">
        <v>48</v>
      </c>
      <c r="C7" s="69">
        <f>IFERROR(AVERAGE('P1 1'!R28,'P1 1'!S28,'P1 1'!T28,'P1 1'!U28,'P1 1'!V28),"—")</f>
        <v>2.6666666666666665</v>
      </c>
      <c r="D7" s="70">
        <f>IFERROR(AVERAGE('P2 2'!R28,'P2 2'!S28,'P2 2'!T28,'P2 2'!U28,'P2 2'!V28),"—")</f>
        <v>3.6</v>
      </c>
      <c r="E7" s="71">
        <f>IFERROR(AVERAGE('P3 3'!R28,'P3 3'!S28,'P3 3'!T28,'P3 3'!U28,'P3 3'!V28),"—")</f>
        <v>3.9</v>
      </c>
      <c r="F7" s="72">
        <f>IFERROR(AVERAGE('P4 4'!S28,'P4 4'!T28,'P4 4'!U28,'P4 4'!V28,'P4 4'!W28),"—")</f>
        <v>4.7538461538461538</v>
      </c>
      <c r="G7" s="73">
        <f>IFERROR(MAX(C7:F7)-MIN(C7:F7),"—")</f>
        <v>2.0871794871794873</v>
      </c>
    </row>
    <row r="8" spans="2:7" ht="21.75" customHeight="1" x14ac:dyDescent="0.25">
      <c r="B8" s="68" t="s">
        <v>233</v>
      </c>
      <c r="C8" s="69">
        <f>IFERROR(AVERAGE('P1 1'!W28,'P1 1'!X28,'P1 1'!Y28,'P1 1'!Z28,'P1 1'!AA28),"—")</f>
        <v>2.6666666666666665</v>
      </c>
      <c r="D8" s="70">
        <f>IFERROR(AVERAGE('P2 2'!W28,'P2 2'!X28,'P2 2'!Y28,'P2 2'!Z28,'P2 2'!AA28),"—")</f>
        <v>4.1333333333333337</v>
      </c>
      <c r="E8" s="71">
        <f>IFERROR(AVERAGE('P3 3'!W28,'P3 3'!X28,'P3 3'!Y28,'P3 3'!Z28,'P3 3'!AA28),"—")</f>
        <v>3.4</v>
      </c>
      <c r="F8" s="72">
        <f>IFERROR(AVERAGE('P4 4'!X28,'P4 4'!Y28,'P4 4'!Z28,'P4 4'!AA28,'P4 4'!AG28),"—")</f>
        <v>4.7076923076923078</v>
      </c>
      <c r="G8" s="73">
        <f>IFERROR(MAX(C8:F8)-MIN(C8:F8),"—")</f>
        <v>2.0410256410256413</v>
      </c>
    </row>
    <row r="9" spans="2:7" ht="21.75" customHeight="1" x14ac:dyDescent="0.25">
      <c r="B9" s="74" t="s">
        <v>234</v>
      </c>
      <c r="C9" s="75">
        <f>IFERROR(AVERAGE('P1 1'!H28,'P1 1'!I28,'P1 1'!J28,'P1 1'!K28,'P1 1'!L28,'P1 1'!M28,'P1 1'!N28,'P1 1'!O28,'P1 1'!P28,'P1 1'!Q28,'P1 1'!R28,'P1 1'!S28,'P1 1'!T28,'P1 1'!U28,'P1 1'!V28,'P1 1'!W28,'P1 1'!X28,'P1 1'!Y28,'P1 1'!Z28,'P1 1'!AA28),"—")</f>
        <v>3.4833333333333329</v>
      </c>
      <c r="D9" s="76">
        <f>IFERROR(AVERAGE('P2 2'!H28,'P2 2'!I28,'P2 2'!J28,'P2 2'!K28,'P2 2'!L28,'P2 2'!M28,'P2 2'!N28,'P2 2'!O28,'P2 2'!P28,'P2 2'!Q28,'P2 2'!R28,'P2 2'!S28,'P2 2'!T28,'P2 2'!U28,'P2 2'!V28,'P2 2'!W28,'P2 2'!X28,'P2 2'!Y28,'P2 2'!Z28,'P2 2'!AA28),"—")</f>
        <v>3.916666666666667</v>
      </c>
      <c r="E9" s="77">
        <f>IFERROR(AVERAGE('P3 3'!H28,'P3 3'!I28,'P3 3'!J28,'P3 3'!K28,'P3 3'!L28,'P3 3'!M28,'P3 3'!N28,'P3 3'!O28,'P3 3'!P28,'P3 3'!Q28,'P3 3'!R28,'P3 3'!S28,'P3 3'!T28,'P3 3'!U28,'P3 3'!V28,'P3 3'!W28,'P3 3'!X28,'P3 3'!Y28,'P3 3'!Z28,'P3 3'!AA28),"—")</f>
        <v>3.625</v>
      </c>
      <c r="F9" s="78">
        <f>IFERROR(AVERAGE('P4 4'!H28,'P4 4'!I28,'P4 4'!J28,'P4 4'!K28,'P4 4'!L28,'P4 4'!M28,'P4 4'!N28,'P4 4'!O28,'P4 4'!Q28,'P4 4'!R28,'P4 4'!S28,'P4 4'!T28,'P4 4'!U28,'P4 4'!V28,'P4 4'!W28,'P4 4'!X28,'P4 4'!Y28,'P4 4'!Z28,'P4 4'!AA28,'P4 4'!AG28),"—")</f>
        <v>4.5115384615384606</v>
      </c>
      <c r="G9" s="79">
        <f>IFERROR(MAX(C9:F9)-MIN(C9:F9),"—")</f>
        <v>1.0282051282051277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8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9" sqref="F9"/>
    </sheetView>
  </sheetViews>
  <sheetFormatPr baseColWidth="10" defaultColWidth="8.7109375" defaultRowHeight="15" x14ac:dyDescent="0.25"/>
  <cols>
    <col min="1" max="1" width="3" customWidth="1"/>
    <col min="2" max="2" width="12" customWidth="1"/>
    <col min="3" max="3" width="10" customWidth="1"/>
    <col min="4" max="5" width="8" customWidth="1"/>
    <col min="6" max="6" width="50" customWidth="1"/>
    <col min="7" max="7" width="30" customWidth="1"/>
    <col min="8" max="8" width="25" customWidth="1"/>
  </cols>
  <sheetData>
    <row r="2" spans="2:8" ht="36" customHeight="1" x14ac:dyDescent="0.25">
      <c r="B2" s="126" t="s">
        <v>235</v>
      </c>
      <c r="C2" s="126"/>
      <c r="D2" s="126"/>
      <c r="E2" s="126"/>
      <c r="F2" s="126"/>
      <c r="G2" s="126"/>
      <c r="H2" s="126"/>
    </row>
    <row r="4" spans="2:8" ht="36" customHeight="1" x14ac:dyDescent="0.25">
      <c r="B4" s="59" t="s">
        <v>270</v>
      </c>
      <c r="C4" s="59" t="s">
        <v>236</v>
      </c>
      <c r="D4" s="59" t="s">
        <v>237</v>
      </c>
      <c r="E4" s="59" t="s">
        <v>238</v>
      </c>
      <c r="F4" s="59" t="s">
        <v>239</v>
      </c>
      <c r="G4" s="59" t="s">
        <v>240</v>
      </c>
      <c r="H4" s="59" t="s">
        <v>241</v>
      </c>
    </row>
    <row r="5" spans="2:8" ht="39.75" customHeight="1" x14ac:dyDescent="0.25">
      <c r="B5" s="80">
        <v>21737026</v>
      </c>
      <c r="C5" s="80">
        <v>1</v>
      </c>
      <c r="D5" s="80">
        <v>21</v>
      </c>
      <c r="E5" s="3"/>
      <c r="F5" s="3"/>
      <c r="G5" s="3"/>
      <c r="H5" s="3"/>
    </row>
    <row r="6" spans="2:8" ht="39.75" customHeight="1" x14ac:dyDescent="0.25">
      <c r="B6" s="80">
        <v>21737026</v>
      </c>
      <c r="C6" s="80">
        <v>1</v>
      </c>
      <c r="D6" s="80">
        <v>22</v>
      </c>
      <c r="E6" s="2"/>
      <c r="F6" s="2"/>
      <c r="G6" s="2"/>
      <c r="H6" s="2"/>
    </row>
    <row r="7" spans="2:8" ht="39.75" customHeight="1" x14ac:dyDescent="0.25">
      <c r="B7" s="80">
        <v>21737026</v>
      </c>
      <c r="C7" s="80">
        <v>1</v>
      </c>
      <c r="D7" s="80">
        <v>23</v>
      </c>
      <c r="E7" s="3"/>
      <c r="F7" s="3"/>
      <c r="G7" s="3"/>
      <c r="H7" s="3"/>
    </row>
    <row r="8" spans="2:8" ht="39.75" customHeight="1" x14ac:dyDescent="0.25">
      <c r="B8" s="80">
        <v>21737026</v>
      </c>
      <c r="C8" s="80">
        <v>1</v>
      </c>
      <c r="D8" s="80">
        <v>24</v>
      </c>
      <c r="E8" s="2"/>
      <c r="F8" s="2"/>
      <c r="G8" s="2"/>
      <c r="H8" s="2"/>
    </row>
    <row r="9" spans="2:8" ht="39.75" customHeight="1" x14ac:dyDescent="0.25">
      <c r="B9" s="80">
        <v>21737026</v>
      </c>
      <c r="C9" s="80">
        <v>1</v>
      </c>
      <c r="D9" s="80">
        <v>25</v>
      </c>
      <c r="E9" s="3"/>
      <c r="F9" s="3"/>
      <c r="G9" s="3"/>
      <c r="H9" s="3"/>
    </row>
    <row r="10" spans="2:8" ht="39.75" customHeight="1" x14ac:dyDescent="0.25">
      <c r="B10" s="80"/>
      <c r="C10" s="80"/>
      <c r="D10" s="80"/>
      <c r="E10" s="2"/>
      <c r="F10" s="2"/>
      <c r="G10" s="2"/>
      <c r="H10" s="2"/>
    </row>
    <row r="11" spans="2:8" ht="39.75" customHeight="1" x14ac:dyDescent="0.25">
      <c r="B11" s="80"/>
      <c r="C11" s="80"/>
      <c r="D11" s="80"/>
      <c r="E11" s="3"/>
      <c r="F11" s="3"/>
      <c r="G11" s="3"/>
      <c r="H11" s="3"/>
    </row>
    <row r="12" spans="2:8" ht="39.75" customHeight="1" x14ac:dyDescent="0.25">
      <c r="B12" s="80"/>
      <c r="C12" s="80"/>
      <c r="D12" s="80"/>
      <c r="E12" s="2"/>
      <c r="F12" s="2"/>
      <c r="G12" s="2"/>
      <c r="H12" s="2"/>
    </row>
    <row r="13" spans="2:8" ht="39.75" customHeight="1" x14ac:dyDescent="0.25">
      <c r="B13" s="80"/>
      <c r="C13" s="80"/>
      <c r="D13" s="80"/>
      <c r="E13" s="3"/>
      <c r="F13" s="3"/>
      <c r="G13" s="3"/>
      <c r="H13" s="3"/>
    </row>
    <row r="14" spans="2:8" ht="39.75" customHeight="1" x14ac:dyDescent="0.25">
      <c r="B14" s="80"/>
      <c r="C14" s="80"/>
      <c r="D14" s="80"/>
      <c r="E14" s="2"/>
      <c r="F14" s="2"/>
      <c r="G14" s="2"/>
      <c r="H14" s="2"/>
    </row>
    <row r="15" spans="2:8" ht="39.75" customHeight="1" x14ac:dyDescent="0.25">
      <c r="B15" s="80"/>
      <c r="C15" s="80"/>
      <c r="D15" s="80"/>
      <c r="E15" s="3"/>
      <c r="F15" s="3"/>
      <c r="G15" s="3"/>
      <c r="H15" s="3"/>
    </row>
    <row r="16" spans="2:8" ht="39.75" customHeight="1" x14ac:dyDescent="0.25">
      <c r="B16" s="80"/>
      <c r="C16" s="80"/>
      <c r="D16" s="80"/>
      <c r="E16" s="2"/>
      <c r="F16" s="2"/>
      <c r="G16" s="2"/>
      <c r="H16" s="2"/>
    </row>
    <row r="17" spans="2:8" ht="39.75" customHeight="1" x14ac:dyDescent="0.25">
      <c r="B17" s="80"/>
      <c r="C17" s="80"/>
      <c r="D17" s="80"/>
      <c r="E17" s="3"/>
      <c r="F17" s="3"/>
      <c r="G17" s="3"/>
      <c r="H17" s="3"/>
    </row>
    <row r="18" spans="2:8" ht="39.75" customHeight="1" x14ac:dyDescent="0.25">
      <c r="B18" s="80"/>
      <c r="C18" s="80"/>
      <c r="D18" s="80"/>
      <c r="E18" s="2"/>
      <c r="F18" s="2"/>
      <c r="G18" s="2"/>
      <c r="H18" s="2"/>
    </row>
    <row r="19" spans="2:8" ht="39.75" customHeight="1" x14ac:dyDescent="0.25">
      <c r="B19" s="80"/>
      <c r="C19" s="80"/>
      <c r="D19" s="80"/>
      <c r="E19" s="3"/>
      <c r="F19" s="3"/>
      <c r="G19" s="3"/>
      <c r="H19" s="3"/>
    </row>
    <row r="20" spans="2:8" ht="39.75" customHeight="1" x14ac:dyDescent="0.25">
      <c r="B20" s="80"/>
      <c r="C20" s="80"/>
      <c r="D20" s="80"/>
      <c r="E20" s="2"/>
      <c r="F20" s="2"/>
      <c r="G20" s="2"/>
      <c r="H20" s="2"/>
    </row>
    <row r="21" spans="2:8" ht="39.75" customHeight="1" x14ac:dyDescent="0.25">
      <c r="B21" s="80"/>
      <c r="C21" s="80"/>
      <c r="D21" s="80"/>
      <c r="E21" s="3"/>
      <c r="F21" s="3"/>
      <c r="G21" s="3"/>
      <c r="H21" s="3"/>
    </row>
    <row r="22" spans="2:8" ht="39.75" customHeight="1" x14ac:dyDescent="0.25">
      <c r="B22" s="80"/>
      <c r="C22" s="80"/>
      <c r="D22" s="80"/>
      <c r="E22" s="2"/>
      <c r="F22" s="2"/>
      <c r="G22" s="2"/>
      <c r="H22" s="2"/>
    </row>
    <row r="23" spans="2:8" ht="39.75" customHeight="1" x14ac:dyDescent="0.25">
      <c r="B23" s="80"/>
      <c r="C23" s="80"/>
      <c r="D23" s="80"/>
      <c r="E23" s="3"/>
      <c r="F23" s="3"/>
      <c r="G23" s="3"/>
      <c r="H23" s="3"/>
    </row>
    <row r="24" spans="2:8" ht="39.75" customHeight="1" x14ac:dyDescent="0.25">
      <c r="B24" s="80"/>
      <c r="C24" s="80"/>
      <c r="D24" s="80"/>
      <c r="E24" s="2"/>
      <c r="F24" s="2"/>
      <c r="G24" s="2"/>
      <c r="H24" s="2"/>
    </row>
    <row r="25" spans="2:8" ht="39.75" customHeight="1" x14ac:dyDescent="0.25">
      <c r="B25" s="80"/>
      <c r="C25" s="80"/>
      <c r="D25" s="80"/>
      <c r="E25" s="3"/>
      <c r="F25" s="3"/>
      <c r="G25" s="3"/>
      <c r="H25" s="3"/>
    </row>
    <row r="26" spans="2:8" ht="39.75" customHeight="1" x14ac:dyDescent="0.25">
      <c r="B26" s="80"/>
      <c r="C26" s="80"/>
      <c r="D26" s="80"/>
      <c r="E26" s="2"/>
      <c r="F26" s="2"/>
      <c r="G26" s="2"/>
      <c r="H26" s="2"/>
    </row>
    <row r="27" spans="2:8" ht="39.75" customHeight="1" x14ac:dyDescent="0.25">
      <c r="B27" s="80"/>
      <c r="C27" s="80"/>
      <c r="D27" s="80"/>
      <c r="E27" s="3"/>
      <c r="F27" s="3"/>
      <c r="G27" s="3"/>
      <c r="H27" s="3"/>
    </row>
    <row r="28" spans="2:8" ht="39.75" customHeight="1" x14ac:dyDescent="0.25">
      <c r="B28" s="80"/>
      <c r="C28" s="80"/>
      <c r="D28" s="80"/>
      <c r="E28" s="2"/>
      <c r="F28" s="2"/>
      <c r="G28" s="2"/>
      <c r="H28" s="2"/>
    </row>
    <row r="29" spans="2:8" ht="39.75" customHeight="1" x14ac:dyDescent="0.25">
      <c r="B29" s="80"/>
      <c r="C29" s="80"/>
      <c r="D29" s="80"/>
      <c r="E29" s="3"/>
      <c r="F29" s="3"/>
      <c r="G29" s="3"/>
      <c r="H29" s="3"/>
    </row>
    <row r="30" spans="2:8" ht="39.75" customHeight="1" x14ac:dyDescent="0.25">
      <c r="B30" s="80"/>
      <c r="C30" s="80"/>
      <c r="D30" s="80"/>
      <c r="E30" s="2"/>
      <c r="F30" s="2"/>
      <c r="G30" s="2"/>
      <c r="H30" s="2"/>
    </row>
    <row r="31" spans="2:8" ht="39.75" customHeight="1" x14ac:dyDescent="0.25">
      <c r="B31" s="80"/>
      <c r="C31" s="80"/>
      <c r="D31" s="80"/>
      <c r="E31" s="3"/>
      <c r="F31" s="3"/>
      <c r="G31" s="3"/>
      <c r="H31" s="3"/>
    </row>
    <row r="32" spans="2:8" ht="39.75" customHeight="1" x14ac:dyDescent="0.25">
      <c r="B32" s="80"/>
      <c r="C32" s="80"/>
      <c r="D32" s="80"/>
      <c r="E32" s="2"/>
      <c r="F32" s="2"/>
      <c r="G32" s="2"/>
      <c r="H32" s="2"/>
    </row>
    <row r="33" spans="2:8" ht="39.75" customHeight="1" x14ac:dyDescent="0.25">
      <c r="B33" s="80"/>
      <c r="C33" s="80"/>
      <c r="D33" s="80"/>
      <c r="E33" s="3"/>
      <c r="F33" s="3"/>
      <c r="G33" s="3"/>
      <c r="H33" s="3"/>
    </row>
    <row r="34" spans="2:8" ht="39.75" customHeight="1" x14ac:dyDescent="0.25">
      <c r="B34" s="80"/>
      <c r="C34" s="80"/>
      <c r="D34" s="80"/>
      <c r="E34" s="2"/>
      <c r="F34" s="2"/>
      <c r="G34" s="2"/>
      <c r="H34" s="2"/>
    </row>
    <row r="35" spans="2:8" ht="39.75" customHeight="1" x14ac:dyDescent="0.25">
      <c r="B35" s="80"/>
      <c r="C35" s="80"/>
      <c r="D35" s="80"/>
      <c r="E35" s="3"/>
      <c r="F35" s="3"/>
      <c r="G35" s="3"/>
      <c r="H35" s="3"/>
    </row>
    <row r="36" spans="2:8" ht="39.75" customHeight="1" x14ac:dyDescent="0.25">
      <c r="B36" s="80"/>
      <c r="C36" s="80"/>
      <c r="D36" s="80"/>
      <c r="E36" s="2"/>
      <c r="F36" s="2"/>
      <c r="G36" s="2"/>
      <c r="H36" s="2"/>
    </row>
    <row r="37" spans="2:8" ht="39.75" customHeight="1" x14ac:dyDescent="0.25">
      <c r="B37" s="80"/>
      <c r="C37" s="80"/>
      <c r="D37" s="80"/>
      <c r="E37" s="3"/>
      <c r="F37" s="3"/>
      <c r="G37" s="3"/>
      <c r="H37" s="3"/>
    </row>
    <row r="38" spans="2:8" ht="39.75" customHeight="1" x14ac:dyDescent="0.25">
      <c r="B38" s="80"/>
      <c r="C38" s="80"/>
      <c r="D38" s="80"/>
      <c r="E38" s="2"/>
      <c r="F38" s="2"/>
      <c r="G38" s="2"/>
      <c r="H38" s="2"/>
    </row>
    <row r="39" spans="2:8" ht="39.75" customHeight="1" x14ac:dyDescent="0.25">
      <c r="B39" s="80"/>
      <c r="C39" s="80"/>
      <c r="D39" s="80"/>
      <c r="E39" s="3"/>
      <c r="F39" s="3"/>
      <c r="G39" s="3"/>
      <c r="H39" s="3"/>
    </row>
    <row r="40" spans="2:8" ht="39.75" customHeight="1" x14ac:dyDescent="0.25">
      <c r="B40" s="80"/>
      <c r="C40" s="80"/>
      <c r="D40" s="80"/>
      <c r="E40" s="2"/>
      <c r="F40" s="2"/>
      <c r="G40" s="2"/>
      <c r="H40" s="2"/>
    </row>
    <row r="41" spans="2:8" ht="39.75" customHeight="1" x14ac:dyDescent="0.25">
      <c r="B41" s="80"/>
      <c r="C41" s="80"/>
      <c r="D41" s="80"/>
      <c r="E41" s="3"/>
      <c r="F41" s="3"/>
      <c r="G41" s="3"/>
      <c r="H41" s="3"/>
    </row>
    <row r="42" spans="2:8" ht="39.75" customHeight="1" x14ac:dyDescent="0.25">
      <c r="B42" s="80"/>
      <c r="C42" s="80"/>
      <c r="D42" s="80"/>
      <c r="E42" s="2"/>
      <c r="F42" s="2"/>
      <c r="G42" s="2"/>
      <c r="H42" s="2"/>
    </row>
    <row r="43" spans="2:8" ht="39.75" customHeight="1" x14ac:dyDescent="0.25">
      <c r="B43" s="80"/>
      <c r="C43" s="80"/>
      <c r="D43" s="80"/>
      <c r="E43" s="3"/>
      <c r="F43" s="3"/>
      <c r="G43" s="3"/>
      <c r="H43" s="3"/>
    </row>
    <row r="44" spans="2:8" ht="39.75" customHeight="1" x14ac:dyDescent="0.25">
      <c r="B44" s="80"/>
      <c r="C44" s="80"/>
      <c r="D44" s="80"/>
      <c r="E44" s="2"/>
      <c r="F44" s="2"/>
      <c r="G44" s="2"/>
      <c r="H44" s="2"/>
    </row>
    <row r="45" spans="2:8" ht="39.75" customHeight="1" x14ac:dyDescent="0.25">
      <c r="B45" s="80"/>
      <c r="C45" s="80"/>
      <c r="D45" s="80"/>
      <c r="E45" s="3"/>
      <c r="F45" s="3"/>
      <c r="G45" s="3"/>
      <c r="H45" s="3"/>
    </row>
    <row r="46" spans="2:8" ht="39.75" customHeight="1" x14ac:dyDescent="0.25">
      <c r="B46" s="80"/>
      <c r="C46" s="80"/>
      <c r="D46" s="80"/>
      <c r="E46" s="2"/>
      <c r="F46" s="2"/>
      <c r="G46" s="2"/>
      <c r="H46" s="2"/>
    </row>
    <row r="47" spans="2:8" ht="39.75" customHeight="1" x14ac:dyDescent="0.25">
      <c r="B47" s="80"/>
      <c r="C47" s="80"/>
      <c r="D47" s="80"/>
      <c r="E47" s="3"/>
      <c r="F47" s="3"/>
      <c r="G47" s="3"/>
      <c r="H47" s="3"/>
    </row>
    <row r="48" spans="2:8" ht="39.75" customHeight="1" x14ac:dyDescent="0.25">
      <c r="B48" s="80"/>
      <c r="C48" s="80"/>
      <c r="D48" s="80"/>
      <c r="E48" s="2"/>
      <c r="F48" s="2"/>
      <c r="G48" s="2"/>
      <c r="H48" s="2"/>
    </row>
    <row r="49" spans="2:8" ht="39.75" customHeight="1" x14ac:dyDescent="0.25">
      <c r="B49" s="80"/>
      <c r="C49" s="80"/>
      <c r="D49" s="80"/>
      <c r="E49" s="3"/>
      <c r="F49" s="3"/>
      <c r="G49" s="3"/>
      <c r="H49" s="3"/>
    </row>
    <row r="50" spans="2:8" ht="39.75" customHeight="1" x14ac:dyDescent="0.25">
      <c r="B50" s="80"/>
      <c r="C50" s="80"/>
      <c r="D50" s="80"/>
      <c r="E50" s="2"/>
      <c r="F50" s="2"/>
      <c r="G50" s="2"/>
      <c r="H50" s="2"/>
    </row>
    <row r="51" spans="2:8" ht="39.75" customHeight="1" x14ac:dyDescent="0.25">
      <c r="B51" s="80"/>
      <c r="C51" s="80"/>
      <c r="D51" s="80"/>
      <c r="E51" s="3"/>
      <c r="F51" s="3"/>
      <c r="G51" s="3"/>
      <c r="H51" s="3"/>
    </row>
    <row r="52" spans="2:8" ht="39.75" customHeight="1" x14ac:dyDescent="0.25">
      <c r="B52" s="80"/>
      <c r="C52" s="80"/>
      <c r="D52" s="80"/>
      <c r="E52" s="2"/>
      <c r="F52" s="2"/>
      <c r="G52" s="2"/>
      <c r="H52" s="2"/>
    </row>
    <row r="53" spans="2:8" ht="39.75" customHeight="1" x14ac:dyDescent="0.25">
      <c r="B53" s="80"/>
      <c r="C53" s="80"/>
      <c r="D53" s="80"/>
      <c r="E53" s="3"/>
      <c r="F53" s="3"/>
      <c r="G53" s="3"/>
      <c r="H53" s="3"/>
    </row>
    <row r="54" spans="2:8" ht="39.75" customHeight="1" x14ac:dyDescent="0.25">
      <c r="B54" s="80"/>
      <c r="C54" s="80"/>
      <c r="D54" s="80"/>
      <c r="E54" s="2"/>
      <c r="F54" s="2"/>
      <c r="G54" s="2"/>
      <c r="H54" s="2"/>
    </row>
    <row r="55" spans="2:8" ht="39.75" customHeight="1" x14ac:dyDescent="0.25">
      <c r="B55" s="80"/>
      <c r="C55" s="80"/>
      <c r="D55" s="80"/>
      <c r="E55" s="3"/>
      <c r="F55" s="3"/>
      <c r="G55" s="3"/>
      <c r="H55" s="3"/>
    </row>
    <row r="56" spans="2:8" ht="39.75" customHeight="1" x14ac:dyDescent="0.25">
      <c r="B56" s="80"/>
      <c r="C56" s="80"/>
      <c r="D56" s="80"/>
      <c r="E56" s="2"/>
      <c r="F56" s="2"/>
      <c r="G56" s="2"/>
      <c r="H56" s="2"/>
    </row>
    <row r="57" spans="2:8" ht="39.75" customHeight="1" x14ac:dyDescent="0.25">
      <c r="B57" s="80"/>
      <c r="C57" s="80"/>
      <c r="D57" s="80"/>
      <c r="E57" s="3"/>
      <c r="F57" s="3"/>
      <c r="G57" s="3"/>
      <c r="H57" s="3"/>
    </row>
    <row r="58" spans="2:8" ht="39.75" customHeight="1" x14ac:dyDescent="0.25">
      <c r="B58" s="80"/>
      <c r="C58" s="80"/>
      <c r="D58" s="80"/>
      <c r="E58" s="2"/>
      <c r="F58" s="2"/>
      <c r="G58" s="2"/>
      <c r="H58" s="2"/>
    </row>
    <row r="59" spans="2:8" ht="39.75" customHeight="1" x14ac:dyDescent="0.25">
      <c r="B59" s="80"/>
      <c r="C59" s="80"/>
      <c r="D59" s="80"/>
      <c r="E59" s="3"/>
      <c r="F59" s="3"/>
      <c r="G59" s="3"/>
      <c r="H59" s="3"/>
    </row>
    <row r="60" spans="2:8" ht="39.75" customHeight="1" x14ac:dyDescent="0.25">
      <c r="B60" s="80"/>
      <c r="C60" s="80"/>
      <c r="D60" s="80"/>
      <c r="E60" s="2"/>
      <c r="F60" s="2"/>
      <c r="G60" s="2"/>
      <c r="H60" s="2"/>
    </row>
    <row r="61" spans="2:8" ht="39.75" customHeight="1" x14ac:dyDescent="0.25">
      <c r="B61" s="80"/>
      <c r="C61" s="80"/>
      <c r="D61" s="80"/>
      <c r="E61" s="3"/>
      <c r="F61" s="3"/>
      <c r="G61" s="3"/>
      <c r="H61" s="3"/>
    </row>
    <row r="62" spans="2:8" ht="39.75" customHeight="1" x14ac:dyDescent="0.25">
      <c r="B62" s="80"/>
      <c r="C62" s="80"/>
      <c r="D62" s="80"/>
      <c r="E62" s="2"/>
      <c r="F62" s="2"/>
      <c r="G62" s="2"/>
      <c r="H62" s="2"/>
    </row>
    <row r="63" spans="2:8" ht="39.75" customHeight="1" x14ac:dyDescent="0.25">
      <c r="B63" s="80"/>
      <c r="C63" s="80"/>
      <c r="D63" s="80"/>
      <c r="E63" s="3"/>
      <c r="F63" s="3"/>
      <c r="G63" s="3"/>
      <c r="H63" s="3"/>
    </row>
    <row r="64" spans="2:8" ht="39.75" customHeight="1" x14ac:dyDescent="0.25">
      <c r="B64" s="80"/>
      <c r="C64" s="80"/>
      <c r="D64" s="80"/>
      <c r="E64" s="2"/>
      <c r="F64" s="2"/>
      <c r="G64" s="2"/>
      <c r="H64" s="2"/>
    </row>
    <row r="65" spans="2:8" ht="39.75" customHeight="1" x14ac:dyDescent="0.25">
      <c r="B65" s="80"/>
      <c r="C65" s="80"/>
      <c r="D65" s="80"/>
      <c r="E65" s="3"/>
      <c r="F65" s="3"/>
      <c r="G65" s="3"/>
      <c r="H65" s="3"/>
    </row>
    <row r="66" spans="2:8" ht="39.75" customHeight="1" x14ac:dyDescent="0.25">
      <c r="B66" s="80"/>
      <c r="C66" s="80"/>
      <c r="D66" s="80"/>
      <c r="E66" s="2"/>
      <c r="F66" s="2"/>
      <c r="G66" s="2"/>
      <c r="H66" s="2"/>
    </row>
    <row r="67" spans="2:8" ht="39.75" customHeight="1" x14ac:dyDescent="0.25">
      <c r="B67" s="80"/>
      <c r="C67" s="80"/>
      <c r="D67" s="80"/>
      <c r="E67" s="3"/>
      <c r="F67" s="3"/>
      <c r="G67" s="3"/>
      <c r="H67" s="3"/>
    </row>
    <row r="68" spans="2:8" ht="39.75" customHeight="1" x14ac:dyDescent="0.25">
      <c r="B68" s="80"/>
      <c r="C68" s="80"/>
      <c r="D68" s="80"/>
      <c r="E68" s="2"/>
      <c r="F68" s="2"/>
      <c r="G68" s="2"/>
      <c r="H68" s="2"/>
    </row>
    <row r="69" spans="2:8" ht="39.75" customHeight="1" x14ac:dyDescent="0.25">
      <c r="B69" s="80"/>
      <c r="C69" s="80"/>
      <c r="D69" s="80"/>
      <c r="E69" s="3"/>
      <c r="F69" s="3"/>
      <c r="G69" s="3"/>
      <c r="H69" s="3"/>
    </row>
    <row r="70" spans="2:8" ht="39.75" customHeight="1" x14ac:dyDescent="0.25">
      <c r="B70" s="80"/>
      <c r="C70" s="80"/>
      <c r="D70" s="80"/>
      <c r="E70" s="2"/>
      <c r="F70" s="2"/>
      <c r="G70" s="2"/>
      <c r="H70" s="2"/>
    </row>
    <row r="71" spans="2:8" ht="39.75" customHeight="1" x14ac:dyDescent="0.25">
      <c r="B71" s="80"/>
      <c r="C71" s="80"/>
      <c r="D71" s="80"/>
      <c r="E71" s="3"/>
      <c r="F71" s="3"/>
      <c r="G71" s="3"/>
      <c r="H71" s="3"/>
    </row>
    <row r="72" spans="2:8" ht="39.75" customHeight="1" x14ac:dyDescent="0.25">
      <c r="B72" s="80"/>
      <c r="C72" s="80"/>
      <c r="D72" s="80"/>
      <c r="E72" s="2"/>
      <c r="F72" s="2"/>
      <c r="G72" s="2"/>
      <c r="H72" s="2"/>
    </row>
    <row r="73" spans="2:8" ht="39.75" customHeight="1" x14ac:dyDescent="0.25">
      <c r="B73" s="80"/>
      <c r="C73" s="80"/>
      <c r="D73" s="80"/>
      <c r="E73" s="3"/>
      <c r="F73" s="3"/>
      <c r="G73" s="3"/>
      <c r="H73" s="3"/>
    </row>
    <row r="74" spans="2:8" ht="39.75" customHeight="1" x14ac:dyDescent="0.25">
      <c r="B74" s="80"/>
      <c r="C74" s="80"/>
      <c r="D74" s="80"/>
      <c r="E74" s="2"/>
      <c r="F74" s="2"/>
      <c r="G74" s="2"/>
      <c r="H74" s="2"/>
    </row>
    <row r="75" spans="2:8" ht="39.75" customHeight="1" x14ac:dyDescent="0.25">
      <c r="B75" s="80"/>
      <c r="C75" s="80"/>
      <c r="D75" s="80"/>
      <c r="E75" s="3"/>
      <c r="F75" s="3"/>
      <c r="G75" s="3"/>
      <c r="H75" s="3"/>
    </row>
    <row r="76" spans="2:8" ht="39.75" customHeight="1" x14ac:dyDescent="0.25">
      <c r="B76" s="80"/>
      <c r="C76" s="80"/>
      <c r="D76" s="80"/>
      <c r="E76" s="2"/>
      <c r="F76" s="2"/>
      <c r="G76" s="2"/>
      <c r="H76" s="2"/>
    </row>
    <row r="77" spans="2:8" ht="39.75" customHeight="1" x14ac:dyDescent="0.25">
      <c r="B77" s="80"/>
      <c r="C77" s="80"/>
      <c r="D77" s="80"/>
      <c r="E77" s="3"/>
      <c r="F77" s="3"/>
      <c r="G77" s="3"/>
      <c r="H77" s="3"/>
    </row>
    <row r="78" spans="2:8" ht="39.75" customHeight="1" x14ac:dyDescent="0.25">
      <c r="B78" s="80"/>
      <c r="C78" s="80"/>
      <c r="D78" s="80"/>
      <c r="E78" s="2"/>
      <c r="F78" s="2"/>
      <c r="G78" s="2"/>
      <c r="H78" s="2"/>
    </row>
    <row r="79" spans="2:8" ht="39.75" customHeight="1" x14ac:dyDescent="0.25">
      <c r="B79" s="80"/>
      <c r="C79" s="80"/>
      <c r="D79" s="80"/>
      <c r="E79" s="3"/>
      <c r="F79" s="3"/>
      <c r="G79" s="3"/>
      <c r="H79" s="3"/>
    </row>
    <row r="80" spans="2:8" ht="39.75" customHeight="1" x14ac:dyDescent="0.25">
      <c r="B80" s="80"/>
      <c r="C80" s="80"/>
      <c r="D80" s="80"/>
      <c r="E80" s="2"/>
      <c r="F80" s="2"/>
      <c r="G80" s="2"/>
      <c r="H80" s="2"/>
    </row>
    <row r="81" spans="2:8" ht="39.75" customHeight="1" x14ac:dyDescent="0.25">
      <c r="B81" s="80"/>
      <c r="C81" s="80"/>
      <c r="D81" s="80"/>
      <c r="E81" s="3"/>
      <c r="F81" s="3"/>
      <c r="G81" s="3"/>
      <c r="H81" s="3"/>
    </row>
    <row r="82" spans="2:8" ht="39.75" customHeight="1" x14ac:dyDescent="0.25">
      <c r="B82" s="80"/>
      <c r="C82" s="80"/>
      <c r="D82" s="80"/>
      <c r="E82" s="2"/>
      <c r="F82" s="2"/>
      <c r="G82" s="2"/>
      <c r="H82" s="2"/>
    </row>
    <row r="83" spans="2:8" ht="39.75" customHeight="1" x14ac:dyDescent="0.25">
      <c r="B83" s="80"/>
      <c r="C83" s="80"/>
      <c r="D83" s="80"/>
      <c r="E83" s="3"/>
      <c r="F83" s="3"/>
      <c r="G83" s="3"/>
      <c r="H83" s="3"/>
    </row>
    <row r="84" spans="2:8" ht="39.75" customHeight="1" x14ac:dyDescent="0.25">
      <c r="B84" s="80"/>
      <c r="C84" s="80"/>
      <c r="D84" s="80"/>
      <c r="E84" s="2"/>
      <c r="F84" s="2"/>
      <c r="G84" s="2"/>
      <c r="H84" s="2"/>
    </row>
  </sheetData>
  <mergeCells count="1">
    <mergeCell ref="B2:H2"/>
  </mergeCells>
  <dataValidations count="2">
    <dataValidation type="list" errorTitle="Perfil inválido" error="Solo perfiles 1 a 4" sqref="C5:C84" xr:uid="{00000000-0002-0000-0700-000000000000}">
      <formula1>"1,2,3,4"</formula1>
      <formula2>0</formula2>
    </dataValidation>
    <dataValidation type="list" errorTitle="Pregunta inválida" error="Solo preguntas 21 a 25" sqref="D5:D84" xr:uid="{00000000-0002-0000-0700-000001000000}">
      <formula1>"21,22,23,24,25"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2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5" sqref="D5"/>
    </sheetView>
  </sheetViews>
  <sheetFormatPr baseColWidth="10" defaultColWidth="8.7109375" defaultRowHeight="15" x14ac:dyDescent="0.25"/>
  <cols>
    <col min="1" max="1" width="3" customWidth="1"/>
    <col min="2" max="2" width="5" customWidth="1"/>
    <col min="3" max="3" width="42" customWidth="1"/>
    <col min="4" max="4" width="16" customWidth="1"/>
    <col min="5" max="5" width="12" customWidth="1"/>
    <col min="6" max="6" width="16" customWidth="1"/>
    <col min="7" max="7" width="25" customWidth="1"/>
  </cols>
  <sheetData>
    <row r="2" spans="2:7" ht="36" customHeight="1" x14ac:dyDescent="0.25">
      <c r="B2" s="126" t="s">
        <v>242</v>
      </c>
      <c r="C2" s="126"/>
      <c r="D2" s="126"/>
      <c r="E2" s="126"/>
      <c r="F2" s="126"/>
      <c r="G2" s="126"/>
    </row>
    <row r="3" spans="2:7" ht="15" customHeight="1" x14ac:dyDescent="0.25">
      <c r="B3" s="127" t="s">
        <v>243</v>
      </c>
      <c r="C3" s="127"/>
      <c r="D3" s="127"/>
      <c r="E3" s="127"/>
      <c r="F3" s="127"/>
      <c r="G3" s="127"/>
    </row>
    <row r="4" spans="2:7" ht="36" customHeight="1" x14ac:dyDescent="0.25">
      <c r="B4" s="59" t="s">
        <v>244</v>
      </c>
      <c r="C4" s="59" t="s">
        <v>245</v>
      </c>
      <c r="D4" s="59" t="s">
        <v>246</v>
      </c>
      <c r="E4" s="59" t="s">
        <v>247</v>
      </c>
      <c r="F4" s="59" t="s">
        <v>248</v>
      </c>
      <c r="G4" s="59" t="s">
        <v>249</v>
      </c>
    </row>
    <row r="5" spans="2:7" ht="21.75" customHeight="1" x14ac:dyDescent="0.25">
      <c r="B5" s="60">
        <v>1</v>
      </c>
      <c r="C5" s="2" t="s">
        <v>203</v>
      </c>
      <c r="D5" s="81">
        <f>IFERROR('📊 Análisis'!H6,"—")</f>
        <v>3.9278846153846154</v>
      </c>
      <c r="E5" s="60" t="str">
        <f t="shared" ref="E5:E24" si="0">IFERROR(IF(D5&gt;=4,"🔴 Alta",IF(D5&gt;=3,"🟡 Media","🟢 Baja")),"")</f>
        <v>🟡 Media</v>
      </c>
      <c r="F5" s="82"/>
      <c r="G5" s="82"/>
    </row>
    <row r="6" spans="2:7" ht="21.75" customHeight="1" x14ac:dyDescent="0.25">
      <c r="B6" s="66">
        <v>2</v>
      </c>
      <c r="C6" s="3" t="s">
        <v>204</v>
      </c>
      <c r="D6" s="81">
        <f>IFERROR('📊 Análisis'!H7,"—")</f>
        <v>4.3733974358974361</v>
      </c>
      <c r="E6" s="66" t="str">
        <f t="shared" si="0"/>
        <v>🔴 Alta</v>
      </c>
      <c r="F6" s="83"/>
      <c r="G6" s="83"/>
    </row>
    <row r="7" spans="2:7" ht="21.75" customHeight="1" x14ac:dyDescent="0.25">
      <c r="B7" s="60">
        <v>3</v>
      </c>
      <c r="C7" s="2" t="s">
        <v>205</v>
      </c>
      <c r="D7" s="81">
        <f>IFERROR('📊 Análisis'!H8,"—")</f>
        <v>4.365384615384615</v>
      </c>
      <c r="E7" s="60" t="str">
        <f t="shared" si="0"/>
        <v>🔴 Alta</v>
      </c>
      <c r="F7" s="82"/>
      <c r="G7" s="82"/>
    </row>
    <row r="8" spans="2:7" ht="21.75" customHeight="1" x14ac:dyDescent="0.25">
      <c r="B8" s="66">
        <v>4</v>
      </c>
      <c r="C8" s="3" t="s">
        <v>206</v>
      </c>
      <c r="D8" s="81">
        <f>IFERROR('📊 Análisis'!H9,"—")</f>
        <v>4.1330128205128203</v>
      </c>
      <c r="E8" s="66" t="str">
        <f t="shared" si="0"/>
        <v>🔴 Alta</v>
      </c>
      <c r="F8" s="83"/>
      <c r="G8" s="83"/>
    </row>
    <row r="9" spans="2:7" ht="21.75" customHeight="1" x14ac:dyDescent="0.25">
      <c r="B9" s="60">
        <v>5</v>
      </c>
      <c r="C9" s="2" t="s">
        <v>207</v>
      </c>
      <c r="D9" s="81">
        <f>IFERROR('📊 Análisis'!H10,"—")</f>
        <v>3.3878205128205128</v>
      </c>
      <c r="E9" s="60" t="str">
        <f t="shared" si="0"/>
        <v>🟡 Media</v>
      </c>
      <c r="F9" s="82"/>
      <c r="G9" s="82"/>
    </row>
    <row r="10" spans="2:7" ht="21.75" customHeight="1" x14ac:dyDescent="0.25">
      <c r="B10" s="66">
        <v>6</v>
      </c>
      <c r="C10" s="3" t="s">
        <v>209</v>
      </c>
      <c r="D10" s="81">
        <f>IFERROR('📊 Análisis'!H12,"—")</f>
        <v>3.8942307692307692</v>
      </c>
      <c r="E10" s="66" t="str">
        <f t="shared" si="0"/>
        <v>🟡 Media</v>
      </c>
      <c r="F10" s="83"/>
      <c r="G10" s="83"/>
    </row>
    <row r="11" spans="2:7" ht="21.75" customHeight="1" x14ac:dyDescent="0.25">
      <c r="B11" s="60">
        <v>7</v>
      </c>
      <c r="C11" s="2" t="s">
        <v>210</v>
      </c>
      <c r="D11" s="81">
        <f>IFERROR('📊 Análisis'!H13,"—")</f>
        <v>4.3477564102564097</v>
      </c>
      <c r="E11" s="60" t="str">
        <f t="shared" si="0"/>
        <v>🔴 Alta</v>
      </c>
      <c r="F11" s="82"/>
      <c r="G11" s="82"/>
    </row>
    <row r="12" spans="2:7" ht="21.75" customHeight="1" x14ac:dyDescent="0.25">
      <c r="B12" s="66">
        <v>8</v>
      </c>
      <c r="C12" s="3" t="s">
        <v>211</v>
      </c>
      <c r="D12" s="81">
        <f>IFERROR('📊 Análisis'!H14,"—")</f>
        <v>4.0288461538461533</v>
      </c>
      <c r="E12" s="66" t="str">
        <f t="shared" si="0"/>
        <v>🔴 Alta</v>
      </c>
      <c r="F12" s="83"/>
      <c r="G12" s="83"/>
    </row>
    <row r="13" spans="2:7" ht="21.75" customHeight="1" x14ac:dyDescent="0.25">
      <c r="B13" s="60">
        <v>9</v>
      </c>
      <c r="C13" s="2" t="s">
        <v>212</v>
      </c>
      <c r="D13" s="81">
        <f>IFERROR('📊 Análisis'!H15,"—")</f>
        <v>3.8269230769230766</v>
      </c>
      <c r="E13" s="60" t="str">
        <f t="shared" si="0"/>
        <v>🟡 Media</v>
      </c>
      <c r="F13" s="82"/>
      <c r="G13" s="82"/>
    </row>
    <row r="14" spans="2:7" ht="21.75" customHeight="1" x14ac:dyDescent="0.25">
      <c r="B14" s="66">
        <v>10</v>
      </c>
      <c r="C14" s="3" t="s">
        <v>213</v>
      </c>
      <c r="D14" s="81">
        <f>IFERROR('📊 Análisis'!H16,"—")</f>
        <v>4.3429487179487172</v>
      </c>
      <c r="E14" s="66" t="str">
        <f t="shared" si="0"/>
        <v>🔴 Alta</v>
      </c>
      <c r="F14" s="83"/>
      <c r="G14" s="83"/>
    </row>
    <row r="15" spans="2:7" ht="21.75" customHeight="1" x14ac:dyDescent="0.25">
      <c r="B15" s="60">
        <v>11</v>
      </c>
      <c r="C15" s="2" t="s">
        <v>215</v>
      </c>
      <c r="D15" s="81">
        <f>IFERROR('📊 Análisis'!H18,"—")</f>
        <v>3.2403846153846154</v>
      </c>
      <c r="E15" s="60" t="str">
        <f t="shared" si="0"/>
        <v>🟡 Media</v>
      </c>
      <c r="F15" s="82"/>
      <c r="G15" s="82"/>
    </row>
    <row r="16" spans="2:7" ht="21.75" customHeight="1" x14ac:dyDescent="0.25">
      <c r="B16" s="66">
        <v>12</v>
      </c>
      <c r="C16" s="3" t="s">
        <v>216</v>
      </c>
      <c r="D16" s="81">
        <f>IFERROR('📊 Análisis'!H19,"—")</f>
        <v>3.2211538461538463</v>
      </c>
      <c r="E16" s="66" t="str">
        <f t="shared" si="0"/>
        <v>🟡 Media</v>
      </c>
      <c r="F16" s="83"/>
      <c r="G16" s="83"/>
    </row>
    <row r="17" spans="2:7" ht="21.75" customHeight="1" x14ac:dyDescent="0.25">
      <c r="B17" s="60">
        <v>13</v>
      </c>
      <c r="C17" s="2" t="s">
        <v>217</v>
      </c>
      <c r="D17" s="81">
        <f>IFERROR('📊 Análisis'!H20,"—")</f>
        <v>4.4775641025641022</v>
      </c>
      <c r="E17" s="60" t="str">
        <f t="shared" si="0"/>
        <v>🔴 Alta</v>
      </c>
      <c r="F17" s="82"/>
      <c r="G17" s="82"/>
    </row>
    <row r="18" spans="2:7" ht="21.75" customHeight="1" x14ac:dyDescent="0.25">
      <c r="B18" s="66">
        <v>14</v>
      </c>
      <c r="C18" s="3" t="s">
        <v>218</v>
      </c>
      <c r="D18" s="81">
        <f>IFERROR('📊 Análisis'!H21,"—")</f>
        <v>3.1778846153846159</v>
      </c>
      <c r="E18" s="66" t="str">
        <f t="shared" si="0"/>
        <v>🟡 Media</v>
      </c>
      <c r="F18" s="83"/>
      <c r="G18" s="83"/>
    </row>
    <row r="19" spans="2:7" ht="21.75" customHeight="1" x14ac:dyDescent="0.25">
      <c r="B19" s="60">
        <v>15</v>
      </c>
      <c r="C19" s="2" t="s">
        <v>219</v>
      </c>
      <c r="D19" s="81">
        <f>IFERROR('📊 Análisis'!H22,"—")</f>
        <v>4.1298076923076925</v>
      </c>
      <c r="E19" s="60" t="str">
        <f t="shared" si="0"/>
        <v>🔴 Alta</v>
      </c>
      <c r="F19" s="82"/>
      <c r="G19" s="82"/>
    </row>
    <row r="20" spans="2:7" ht="21.75" customHeight="1" x14ac:dyDescent="0.25">
      <c r="B20" s="66">
        <v>16</v>
      </c>
      <c r="C20" s="3" t="s">
        <v>221</v>
      </c>
      <c r="D20" s="81">
        <f>IFERROR('📊 Análisis'!H24,"—")</f>
        <v>3.1923076923076925</v>
      </c>
      <c r="E20" s="66" t="str">
        <f t="shared" si="0"/>
        <v>🟡 Media</v>
      </c>
      <c r="F20" s="83"/>
      <c r="G20" s="83"/>
    </row>
    <row r="21" spans="2:7" ht="21.75" customHeight="1" x14ac:dyDescent="0.25">
      <c r="B21" s="60">
        <v>17</v>
      </c>
      <c r="C21" s="2" t="s">
        <v>222</v>
      </c>
      <c r="D21" s="81">
        <f>IFERROR('📊 Análisis'!H25,"—")</f>
        <v>4.5272435897435894</v>
      </c>
      <c r="E21" s="60" t="str">
        <f t="shared" si="0"/>
        <v>🔴 Alta</v>
      </c>
      <c r="F21" s="82"/>
      <c r="G21" s="82"/>
    </row>
    <row r="22" spans="2:7" ht="21.75" customHeight="1" x14ac:dyDescent="0.25">
      <c r="B22" s="66">
        <v>18</v>
      </c>
      <c r="C22" s="3" t="s">
        <v>223</v>
      </c>
      <c r="D22" s="81">
        <f>IFERROR('📊 Análisis'!H26,"—")</f>
        <v>4.0865384615384617</v>
      </c>
      <c r="E22" s="66" t="str">
        <f t="shared" si="0"/>
        <v>🔴 Alta</v>
      </c>
      <c r="F22" s="83"/>
      <c r="G22" s="83"/>
    </row>
    <row r="23" spans="2:7" ht="21.75" customHeight="1" x14ac:dyDescent="0.25">
      <c r="B23" s="60">
        <v>19</v>
      </c>
      <c r="C23" s="2" t="s">
        <v>224</v>
      </c>
      <c r="D23" s="81">
        <f>IFERROR('📊 Análisis'!H27,"—")</f>
        <v>4.0272435897435894</v>
      </c>
      <c r="E23" s="60" t="str">
        <f t="shared" si="0"/>
        <v>🔴 Alta</v>
      </c>
      <c r="F23" s="82"/>
      <c r="G23" s="82"/>
    </row>
    <row r="24" spans="2:7" ht="21.75" customHeight="1" x14ac:dyDescent="0.25">
      <c r="B24" s="66">
        <v>20</v>
      </c>
      <c r="C24" s="3" t="s">
        <v>225</v>
      </c>
      <c r="D24" s="81">
        <f>IFERROR('📊 Análisis'!H28,"—")</f>
        <v>2.2222222222222223</v>
      </c>
      <c r="E24" s="66" t="str">
        <f t="shared" si="0"/>
        <v>🟢 Baja</v>
      </c>
      <c r="F24" s="83"/>
      <c r="G24" s="83"/>
    </row>
  </sheetData>
  <mergeCells count="2">
    <mergeCell ref="B2:G2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BD36-186B-4724-9E34-4837146A5CCE}">
  <dimension ref="B2:Q83"/>
  <sheetViews>
    <sheetView topLeftCell="D17" workbookViewId="0">
      <selection activeCell="H14" sqref="H14"/>
    </sheetView>
  </sheetViews>
  <sheetFormatPr baseColWidth="10" defaultRowHeight="15" x14ac:dyDescent="0.25"/>
  <cols>
    <col min="2" max="2" width="52.140625" customWidth="1"/>
    <col min="3" max="4" width="13" customWidth="1"/>
    <col min="5" max="5" width="14.5703125" customWidth="1"/>
    <col min="8" max="8" width="52.140625" customWidth="1"/>
    <col min="9" max="10" width="13" customWidth="1"/>
    <col min="11" max="11" width="14.5703125" customWidth="1"/>
    <col min="14" max="14" width="52.140625" customWidth="1"/>
    <col min="15" max="16" width="13" customWidth="1"/>
    <col min="17" max="17" width="14.5703125" customWidth="1"/>
  </cols>
  <sheetData>
    <row r="2" spans="2:17" ht="18" customHeight="1" x14ac:dyDescent="0.25">
      <c r="B2" s="129" t="s">
        <v>27</v>
      </c>
      <c r="C2" s="130"/>
      <c r="D2" s="130"/>
      <c r="E2" s="130"/>
      <c r="H2" s="138" t="s">
        <v>29</v>
      </c>
      <c r="I2" s="139"/>
      <c r="J2" s="139"/>
      <c r="K2" s="139"/>
      <c r="N2" s="145" t="s">
        <v>31</v>
      </c>
      <c r="O2" s="146"/>
      <c r="P2" s="146"/>
      <c r="Q2" s="146"/>
    </row>
    <row r="3" spans="2:17" ht="18" customHeight="1" x14ac:dyDescent="0.25">
      <c r="B3" s="131"/>
      <c r="C3" s="132"/>
      <c r="D3" s="132"/>
      <c r="E3" s="132"/>
      <c r="H3" s="140"/>
      <c r="I3" s="141"/>
      <c r="J3" s="141"/>
      <c r="K3" s="141"/>
      <c r="N3" s="147"/>
      <c r="O3" s="148"/>
      <c r="P3" s="148"/>
      <c r="Q3" s="148"/>
    </row>
    <row r="5" spans="2:17" ht="16.5" x14ac:dyDescent="0.25">
      <c r="B5" s="133" t="s">
        <v>284</v>
      </c>
      <c r="C5" s="133"/>
      <c r="D5" s="133"/>
      <c r="E5" s="133"/>
      <c r="H5" s="133" t="s">
        <v>335</v>
      </c>
      <c r="I5" s="133"/>
      <c r="J5" s="133"/>
      <c r="K5" s="133"/>
      <c r="N5" s="133" t="s">
        <v>336</v>
      </c>
      <c r="O5" s="133"/>
      <c r="P5" s="133"/>
      <c r="Q5" s="133"/>
    </row>
    <row r="7" spans="2:17" ht="29.25" customHeight="1" x14ac:dyDescent="0.25">
      <c r="B7" s="89" t="s">
        <v>274</v>
      </c>
      <c r="C7" s="89" t="s">
        <v>271</v>
      </c>
      <c r="D7" s="89" t="s">
        <v>272</v>
      </c>
      <c r="E7" s="89" t="s">
        <v>273</v>
      </c>
      <c r="H7" s="33" t="s">
        <v>274</v>
      </c>
      <c r="I7" s="33" t="s">
        <v>271</v>
      </c>
      <c r="J7" s="33" t="s">
        <v>272</v>
      </c>
      <c r="K7" s="33" t="s">
        <v>273</v>
      </c>
      <c r="N7" s="42" t="s">
        <v>274</v>
      </c>
      <c r="O7" s="42" t="s">
        <v>271</v>
      </c>
      <c r="P7" s="42" t="s">
        <v>272</v>
      </c>
      <c r="Q7" s="42" t="s">
        <v>273</v>
      </c>
    </row>
    <row r="8" spans="2:17" x14ac:dyDescent="0.25">
      <c r="B8" s="87" t="s">
        <v>275</v>
      </c>
      <c r="C8" s="88">
        <v>0</v>
      </c>
      <c r="D8" s="88">
        <v>0</v>
      </c>
      <c r="E8" s="88">
        <v>0</v>
      </c>
      <c r="H8" s="87" t="s">
        <v>275</v>
      </c>
      <c r="I8" s="88">
        <v>0</v>
      </c>
      <c r="J8" s="88">
        <v>0</v>
      </c>
      <c r="K8" s="88">
        <v>0</v>
      </c>
      <c r="N8" s="87" t="s">
        <v>275</v>
      </c>
      <c r="O8" s="88">
        <v>0</v>
      </c>
      <c r="P8" s="88">
        <v>0</v>
      </c>
      <c r="Q8" s="88">
        <v>0</v>
      </c>
    </row>
    <row r="9" spans="2:17" x14ac:dyDescent="0.25">
      <c r="B9" s="87" t="s">
        <v>276</v>
      </c>
      <c r="C9" s="88">
        <v>2</v>
      </c>
      <c r="D9" s="88">
        <v>1</v>
      </c>
      <c r="E9" s="88">
        <v>0</v>
      </c>
      <c r="H9" s="87" t="s">
        <v>276</v>
      </c>
      <c r="I9" s="88">
        <v>2</v>
      </c>
      <c r="J9" s="88">
        <v>1</v>
      </c>
      <c r="K9" s="88">
        <v>0</v>
      </c>
      <c r="N9" s="87" t="s">
        <v>276</v>
      </c>
      <c r="O9" s="88">
        <v>2</v>
      </c>
      <c r="P9" s="88">
        <v>1</v>
      </c>
      <c r="Q9" s="88">
        <v>0</v>
      </c>
    </row>
    <row r="10" spans="2:17" x14ac:dyDescent="0.25">
      <c r="B10" s="87" t="s">
        <v>277</v>
      </c>
      <c r="C10" s="88">
        <v>0</v>
      </c>
      <c r="D10" s="88">
        <v>0</v>
      </c>
      <c r="E10" s="88">
        <v>0</v>
      </c>
      <c r="H10" s="87" t="s">
        <v>277</v>
      </c>
      <c r="I10" s="88">
        <v>0</v>
      </c>
      <c r="J10" s="88">
        <v>0</v>
      </c>
      <c r="K10" s="88">
        <v>0</v>
      </c>
      <c r="N10" s="87" t="s">
        <v>277</v>
      </c>
      <c r="O10" s="88">
        <v>0</v>
      </c>
      <c r="P10" s="88">
        <v>0</v>
      </c>
      <c r="Q10" s="88">
        <v>0</v>
      </c>
    </row>
    <row r="11" spans="2:17" x14ac:dyDescent="0.25">
      <c r="B11" s="87" t="s">
        <v>278</v>
      </c>
      <c r="C11" s="88">
        <v>4</v>
      </c>
      <c r="D11" s="88">
        <v>4</v>
      </c>
      <c r="E11" s="88">
        <v>3</v>
      </c>
      <c r="H11" s="87" t="s">
        <v>278</v>
      </c>
      <c r="I11" s="88">
        <v>4</v>
      </c>
      <c r="J11" s="88">
        <v>4</v>
      </c>
      <c r="K11" s="88">
        <v>3</v>
      </c>
      <c r="N11" s="87" t="s">
        <v>278</v>
      </c>
      <c r="O11" s="88">
        <v>4</v>
      </c>
      <c r="P11" s="88">
        <v>4</v>
      </c>
      <c r="Q11" s="88">
        <v>3</v>
      </c>
    </row>
    <row r="12" spans="2:17" x14ac:dyDescent="0.25">
      <c r="B12" s="87" t="s">
        <v>279</v>
      </c>
      <c r="C12" s="88">
        <v>3</v>
      </c>
      <c r="D12" s="88">
        <v>3</v>
      </c>
      <c r="E12" s="88">
        <v>2</v>
      </c>
      <c r="H12" s="87" t="s">
        <v>279</v>
      </c>
      <c r="I12" s="88">
        <v>3</v>
      </c>
      <c r="J12" s="88">
        <v>3</v>
      </c>
      <c r="K12" s="88">
        <v>2</v>
      </c>
      <c r="N12" s="87" t="s">
        <v>279</v>
      </c>
      <c r="O12" s="88">
        <v>3</v>
      </c>
      <c r="P12" s="88">
        <v>3</v>
      </c>
      <c r="Q12" s="88">
        <v>2</v>
      </c>
    </row>
    <row r="13" spans="2:17" x14ac:dyDescent="0.25">
      <c r="B13" s="87" t="s">
        <v>280</v>
      </c>
      <c r="C13" s="88">
        <v>5</v>
      </c>
      <c r="D13" s="88">
        <v>5</v>
      </c>
      <c r="E13" s="88">
        <v>4</v>
      </c>
      <c r="H13" s="87" t="s">
        <v>280</v>
      </c>
      <c r="I13" s="88">
        <v>5</v>
      </c>
      <c r="J13" s="88">
        <v>5</v>
      </c>
      <c r="K13" s="88">
        <v>4</v>
      </c>
      <c r="N13" s="87" t="s">
        <v>280</v>
      </c>
      <c r="O13" s="88">
        <v>5</v>
      </c>
      <c r="P13" s="88">
        <v>5</v>
      </c>
      <c r="Q13" s="88">
        <v>4</v>
      </c>
    </row>
    <row r="14" spans="2:17" x14ac:dyDescent="0.25">
      <c r="B14" s="87" t="s">
        <v>281</v>
      </c>
      <c r="C14" s="88">
        <v>4</v>
      </c>
      <c r="D14" s="88">
        <v>4</v>
      </c>
      <c r="E14" s="88">
        <v>3</v>
      </c>
      <c r="H14" s="87" t="s">
        <v>281</v>
      </c>
      <c r="I14" s="88">
        <v>4</v>
      </c>
      <c r="J14" s="88">
        <v>4</v>
      </c>
      <c r="K14" s="88">
        <v>3</v>
      </c>
      <c r="N14" s="87" t="s">
        <v>281</v>
      </c>
      <c r="O14" s="88">
        <v>4</v>
      </c>
      <c r="P14" s="88">
        <v>4</v>
      </c>
      <c r="Q14" s="88">
        <v>3</v>
      </c>
    </row>
    <row r="15" spans="2:17" x14ac:dyDescent="0.25">
      <c r="B15" s="87" t="s">
        <v>282</v>
      </c>
      <c r="C15" s="88">
        <f>SUM(C8:C14)</f>
        <v>18</v>
      </c>
      <c r="D15" s="88">
        <f t="shared" ref="D15:E15" si="0">SUM(D8:D14)</f>
        <v>17</v>
      </c>
      <c r="E15" s="88">
        <f t="shared" si="0"/>
        <v>12</v>
      </c>
      <c r="H15" s="87" t="s">
        <v>282</v>
      </c>
      <c r="I15" s="88">
        <f>SUM(I8:I14)</f>
        <v>18</v>
      </c>
      <c r="J15" s="88">
        <f t="shared" ref="J15" si="1">SUM(J8:J14)</f>
        <v>17</v>
      </c>
      <c r="K15" s="88">
        <f t="shared" ref="K15" si="2">SUM(K8:K14)</f>
        <v>12</v>
      </c>
      <c r="N15" s="87" t="s">
        <v>282</v>
      </c>
      <c r="O15" s="88">
        <f>SUM(O8:O14)</f>
        <v>18</v>
      </c>
      <c r="P15" s="88">
        <f t="shared" ref="P15" si="3">SUM(P8:P14)</f>
        <v>17</v>
      </c>
      <c r="Q15" s="88">
        <f t="shared" ref="Q15" si="4">SUM(Q8:Q14)</f>
        <v>12</v>
      </c>
    </row>
    <row r="17" spans="2:17" ht="16.5" x14ac:dyDescent="0.25">
      <c r="B17" s="133" t="s">
        <v>283</v>
      </c>
      <c r="C17" s="133"/>
      <c r="D17" s="133"/>
      <c r="E17" s="133"/>
      <c r="H17" s="133" t="s">
        <v>338</v>
      </c>
      <c r="I17" s="133"/>
      <c r="J17" s="133"/>
      <c r="K17" s="133"/>
      <c r="N17" s="133" t="s">
        <v>337</v>
      </c>
      <c r="O17" s="133"/>
      <c r="P17" s="133"/>
      <c r="Q17" s="133"/>
    </row>
    <row r="19" spans="2:17" ht="36" x14ac:dyDescent="0.25">
      <c r="B19" s="89" t="s">
        <v>274</v>
      </c>
      <c r="C19" s="89" t="s">
        <v>271</v>
      </c>
      <c r="D19" s="89" t="s">
        <v>272</v>
      </c>
      <c r="E19" s="89" t="s">
        <v>273</v>
      </c>
      <c r="H19" s="33" t="s">
        <v>274</v>
      </c>
      <c r="I19" s="33" t="s">
        <v>271</v>
      </c>
      <c r="J19" s="33" t="s">
        <v>272</v>
      </c>
      <c r="K19" s="33" t="s">
        <v>273</v>
      </c>
      <c r="N19" s="42" t="s">
        <v>274</v>
      </c>
      <c r="O19" s="42" t="s">
        <v>271</v>
      </c>
      <c r="P19" s="42" t="s">
        <v>272</v>
      </c>
      <c r="Q19" s="42" t="s">
        <v>273</v>
      </c>
    </row>
    <row r="20" spans="2:17" x14ac:dyDescent="0.25">
      <c r="B20" s="87" t="s">
        <v>285</v>
      </c>
      <c r="C20" s="88">
        <v>3</v>
      </c>
      <c r="D20" s="88">
        <v>3</v>
      </c>
      <c r="E20" s="88">
        <v>2</v>
      </c>
      <c r="H20" s="87" t="s">
        <v>285</v>
      </c>
      <c r="I20" s="88">
        <v>3</v>
      </c>
      <c r="J20" s="88">
        <v>3</v>
      </c>
      <c r="K20" s="88">
        <v>2</v>
      </c>
      <c r="N20" s="87" t="s">
        <v>351</v>
      </c>
      <c r="O20" s="88">
        <v>3</v>
      </c>
      <c r="P20" s="88">
        <v>3</v>
      </c>
      <c r="Q20" s="88">
        <v>2</v>
      </c>
    </row>
    <row r="21" spans="2:17" x14ac:dyDescent="0.25">
      <c r="B21" s="87" t="s">
        <v>286</v>
      </c>
      <c r="C21" s="88">
        <v>4</v>
      </c>
      <c r="D21" s="88">
        <v>4</v>
      </c>
      <c r="E21" s="88">
        <v>3</v>
      </c>
      <c r="H21" s="87" t="s">
        <v>352</v>
      </c>
      <c r="I21" s="88">
        <v>4</v>
      </c>
      <c r="J21" s="88">
        <v>4</v>
      </c>
      <c r="K21" s="88">
        <v>3</v>
      </c>
      <c r="N21" s="87" t="s">
        <v>352</v>
      </c>
      <c r="O21" s="88">
        <v>4</v>
      </c>
      <c r="P21" s="88">
        <v>4</v>
      </c>
      <c r="Q21" s="88">
        <v>3</v>
      </c>
    </row>
    <row r="22" spans="2:17" x14ac:dyDescent="0.25">
      <c r="B22" s="87" t="s">
        <v>287</v>
      </c>
      <c r="C22" s="88">
        <v>4</v>
      </c>
      <c r="D22" s="88">
        <v>4</v>
      </c>
      <c r="E22" s="88">
        <v>3</v>
      </c>
      <c r="H22" s="87" t="s">
        <v>287</v>
      </c>
      <c r="I22" s="88">
        <v>4</v>
      </c>
      <c r="J22" s="88">
        <v>4</v>
      </c>
      <c r="K22" s="88">
        <v>3</v>
      </c>
      <c r="N22" s="87" t="s">
        <v>287</v>
      </c>
      <c r="O22" s="88">
        <v>4</v>
      </c>
      <c r="P22" s="88">
        <v>4</v>
      </c>
      <c r="Q22" s="88">
        <v>3</v>
      </c>
    </row>
    <row r="23" spans="2:17" x14ac:dyDescent="0.25">
      <c r="B23" s="87" t="s">
        <v>288</v>
      </c>
      <c r="C23" s="88">
        <v>3</v>
      </c>
      <c r="D23" s="88">
        <v>3</v>
      </c>
      <c r="E23" s="88">
        <v>4</v>
      </c>
      <c r="H23" s="87" t="s">
        <v>288</v>
      </c>
      <c r="I23" s="88">
        <v>3</v>
      </c>
      <c r="J23" s="88">
        <v>3</v>
      </c>
      <c r="K23" s="88">
        <v>4</v>
      </c>
      <c r="N23" s="87" t="s">
        <v>288</v>
      </c>
      <c r="O23" s="88">
        <v>3</v>
      </c>
      <c r="P23" s="88">
        <v>3</v>
      </c>
      <c r="Q23" s="88">
        <v>4</v>
      </c>
    </row>
    <row r="24" spans="2:17" x14ac:dyDescent="0.25">
      <c r="B24" s="87" t="s">
        <v>289</v>
      </c>
      <c r="C24" s="88">
        <v>4</v>
      </c>
      <c r="D24" s="88">
        <v>4</v>
      </c>
      <c r="E24" s="88">
        <v>3</v>
      </c>
      <c r="H24" s="87" t="s">
        <v>289</v>
      </c>
      <c r="I24" s="88">
        <v>4</v>
      </c>
      <c r="J24" s="88">
        <v>4</v>
      </c>
      <c r="K24" s="88">
        <v>3</v>
      </c>
      <c r="N24" s="87" t="s">
        <v>289</v>
      </c>
      <c r="O24" s="88">
        <v>4</v>
      </c>
      <c r="P24" s="88">
        <v>4</v>
      </c>
      <c r="Q24" s="88">
        <v>3</v>
      </c>
    </row>
    <row r="25" spans="2:17" x14ac:dyDescent="0.25">
      <c r="B25" s="87" t="s">
        <v>290</v>
      </c>
      <c r="C25" s="88">
        <v>4</v>
      </c>
      <c r="D25" s="88">
        <v>4</v>
      </c>
      <c r="E25" s="88">
        <v>2</v>
      </c>
      <c r="H25" s="87" t="s">
        <v>290</v>
      </c>
      <c r="I25" s="88">
        <v>4</v>
      </c>
      <c r="J25" s="88">
        <v>4</v>
      </c>
      <c r="K25" s="88">
        <v>2</v>
      </c>
      <c r="N25" s="87" t="s">
        <v>290</v>
      </c>
      <c r="O25" s="88">
        <v>4</v>
      </c>
      <c r="P25" s="88">
        <v>4</v>
      </c>
      <c r="Q25" s="88">
        <v>2</v>
      </c>
    </row>
    <row r="26" spans="2:17" x14ac:dyDescent="0.25">
      <c r="B26" s="87" t="s">
        <v>291</v>
      </c>
      <c r="C26" s="88">
        <v>5</v>
      </c>
      <c r="D26" s="88">
        <v>5</v>
      </c>
      <c r="E26" s="88">
        <v>3</v>
      </c>
      <c r="H26" s="87" t="s">
        <v>291</v>
      </c>
      <c r="I26" s="88">
        <v>5</v>
      </c>
      <c r="J26" s="88">
        <v>5</v>
      </c>
      <c r="K26" s="88">
        <v>3</v>
      </c>
      <c r="N26" s="87" t="s">
        <v>291</v>
      </c>
      <c r="O26" s="88">
        <v>5</v>
      </c>
      <c r="P26" s="88">
        <v>5</v>
      </c>
      <c r="Q26" s="88">
        <v>3</v>
      </c>
    </row>
    <row r="27" spans="2:17" x14ac:dyDescent="0.25">
      <c r="B27" s="87" t="s">
        <v>282</v>
      </c>
      <c r="C27" s="88">
        <f>SUM(C20:C26)</f>
        <v>27</v>
      </c>
      <c r="D27" s="88">
        <f t="shared" ref="D27" si="5">SUM(D20:D26)</f>
        <v>27</v>
      </c>
      <c r="E27" s="88">
        <f t="shared" ref="E27" si="6">SUM(E20:E26)</f>
        <v>20</v>
      </c>
      <c r="H27" s="87" t="s">
        <v>282</v>
      </c>
      <c r="I27" s="88">
        <f>SUM(I20:I26)</f>
        <v>27</v>
      </c>
      <c r="J27" s="88">
        <f t="shared" ref="J27" si="7">SUM(J20:J26)</f>
        <v>27</v>
      </c>
      <c r="K27" s="88">
        <f t="shared" ref="K27" si="8">SUM(K20:K26)</f>
        <v>20</v>
      </c>
      <c r="N27" s="87" t="s">
        <v>282</v>
      </c>
      <c r="O27" s="88">
        <f>SUM(O20:O26)</f>
        <v>27</v>
      </c>
      <c r="P27" s="88">
        <f t="shared" ref="P27" si="9">SUM(P20:P26)</f>
        <v>27</v>
      </c>
      <c r="Q27" s="88">
        <f t="shared" ref="Q27" si="10">SUM(Q20:Q26)</f>
        <v>20</v>
      </c>
    </row>
    <row r="29" spans="2:17" ht="16.5" x14ac:dyDescent="0.25">
      <c r="B29" s="133" t="s">
        <v>292</v>
      </c>
      <c r="C29" s="133"/>
      <c r="D29" s="133"/>
      <c r="E29" s="133"/>
      <c r="H29" s="133" t="s">
        <v>292</v>
      </c>
      <c r="I29" s="133"/>
      <c r="J29" s="133"/>
      <c r="K29" s="133"/>
      <c r="N29" s="133" t="s">
        <v>292</v>
      </c>
      <c r="O29" s="133"/>
      <c r="P29" s="133"/>
      <c r="Q29" s="133"/>
    </row>
    <row r="31" spans="2:17" ht="36" x14ac:dyDescent="0.25">
      <c r="B31" s="89" t="s">
        <v>274</v>
      </c>
      <c r="C31" s="89" t="s">
        <v>271</v>
      </c>
      <c r="D31" s="89" t="s">
        <v>272</v>
      </c>
      <c r="E31" s="89" t="s">
        <v>273</v>
      </c>
      <c r="H31" s="33" t="s">
        <v>274</v>
      </c>
      <c r="I31" s="33" t="s">
        <v>271</v>
      </c>
      <c r="J31" s="33" t="s">
        <v>272</v>
      </c>
      <c r="K31" s="33" t="s">
        <v>273</v>
      </c>
      <c r="N31" s="42" t="s">
        <v>274</v>
      </c>
      <c r="O31" s="42" t="s">
        <v>271</v>
      </c>
      <c r="P31" s="42" t="s">
        <v>272</v>
      </c>
      <c r="Q31" s="42" t="s">
        <v>273</v>
      </c>
    </row>
    <row r="32" spans="2:17" x14ac:dyDescent="0.25">
      <c r="B32" s="87" t="s">
        <v>293</v>
      </c>
      <c r="C32" s="88">
        <v>5</v>
      </c>
      <c r="D32" s="88">
        <v>5</v>
      </c>
      <c r="E32" s="88">
        <v>3</v>
      </c>
      <c r="H32" s="87" t="s">
        <v>293</v>
      </c>
      <c r="I32" s="88">
        <v>5</v>
      </c>
      <c r="J32" s="88">
        <v>5</v>
      </c>
      <c r="K32" s="88">
        <v>3</v>
      </c>
      <c r="N32" s="87" t="s">
        <v>293</v>
      </c>
      <c r="O32" s="88">
        <v>4</v>
      </c>
      <c r="P32" s="88">
        <v>5</v>
      </c>
      <c r="Q32" s="88">
        <v>3</v>
      </c>
    </row>
    <row r="33" spans="2:17" x14ac:dyDescent="0.25">
      <c r="B33" s="87" t="s">
        <v>294</v>
      </c>
      <c r="C33" s="88">
        <v>5</v>
      </c>
      <c r="D33" s="88">
        <v>5</v>
      </c>
      <c r="E33" s="88">
        <v>4</v>
      </c>
      <c r="H33" s="87" t="s">
        <v>294</v>
      </c>
      <c r="I33" s="88">
        <v>5</v>
      </c>
      <c r="J33" s="88">
        <v>5</v>
      </c>
      <c r="K33" s="88">
        <v>4</v>
      </c>
      <c r="N33" s="87" t="s">
        <v>294</v>
      </c>
      <c r="O33" s="88">
        <v>5</v>
      </c>
      <c r="P33" s="88">
        <v>5</v>
      </c>
      <c r="Q33" s="88">
        <v>4</v>
      </c>
    </row>
    <row r="34" spans="2:17" x14ac:dyDescent="0.25">
      <c r="B34" s="87" t="s">
        <v>295</v>
      </c>
      <c r="C34" s="88">
        <v>5</v>
      </c>
      <c r="D34" s="88">
        <v>5</v>
      </c>
      <c r="E34" s="88">
        <v>3</v>
      </c>
      <c r="H34" s="87" t="s">
        <v>295</v>
      </c>
      <c r="I34" s="88">
        <v>5</v>
      </c>
      <c r="J34" s="88">
        <v>5</v>
      </c>
      <c r="K34" s="88">
        <v>3</v>
      </c>
      <c r="N34" s="87" t="s">
        <v>295</v>
      </c>
      <c r="O34" s="88">
        <v>5</v>
      </c>
      <c r="P34" s="88">
        <v>5</v>
      </c>
      <c r="Q34" s="88">
        <v>3</v>
      </c>
    </row>
    <row r="35" spans="2:17" x14ac:dyDescent="0.25">
      <c r="B35" s="87" t="s">
        <v>296</v>
      </c>
      <c r="C35" s="88">
        <v>4</v>
      </c>
      <c r="D35" s="88">
        <v>5</v>
      </c>
      <c r="E35" s="88">
        <v>3</v>
      </c>
      <c r="H35" s="87" t="s">
        <v>296</v>
      </c>
      <c r="I35" s="88">
        <v>4</v>
      </c>
      <c r="J35" s="88">
        <v>5</v>
      </c>
      <c r="K35" s="88">
        <v>3</v>
      </c>
      <c r="N35" s="87" t="s">
        <v>296</v>
      </c>
      <c r="O35" s="88">
        <v>4</v>
      </c>
      <c r="P35" s="88">
        <v>5</v>
      </c>
      <c r="Q35" s="88">
        <v>3</v>
      </c>
    </row>
    <row r="36" spans="2:17" x14ac:dyDescent="0.25">
      <c r="B36" s="87" t="s">
        <v>297</v>
      </c>
      <c r="C36" s="88">
        <v>4</v>
      </c>
      <c r="D36" s="88">
        <v>5</v>
      </c>
      <c r="E36" s="88">
        <v>1</v>
      </c>
      <c r="H36" s="87" t="s">
        <v>297</v>
      </c>
      <c r="I36" s="88">
        <v>4</v>
      </c>
      <c r="J36" s="88">
        <v>5</v>
      </c>
      <c r="K36" s="88">
        <v>1</v>
      </c>
      <c r="N36" s="87" t="s">
        <v>297</v>
      </c>
      <c r="O36" s="88">
        <v>3</v>
      </c>
      <c r="P36" s="88">
        <v>5</v>
      </c>
      <c r="Q36" s="88">
        <v>1</v>
      </c>
    </row>
    <row r="37" spans="2:17" x14ac:dyDescent="0.25">
      <c r="B37" s="87" t="s">
        <v>298</v>
      </c>
      <c r="C37" s="88">
        <v>3</v>
      </c>
      <c r="D37" s="88">
        <v>5</v>
      </c>
      <c r="E37" s="88">
        <v>1</v>
      </c>
      <c r="H37" s="87" t="s">
        <v>298</v>
      </c>
      <c r="I37" s="88">
        <v>3</v>
      </c>
      <c r="J37" s="88">
        <v>5</v>
      </c>
      <c r="K37" s="88">
        <v>1</v>
      </c>
      <c r="N37" s="87" t="s">
        <v>298</v>
      </c>
      <c r="O37" s="88">
        <v>2</v>
      </c>
      <c r="P37" s="88">
        <v>5</v>
      </c>
      <c r="Q37" s="88">
        <v>1</v>
      </c>
    </row>
    <row r="38" spans="2:17" x14ac:dyDescent="0.25">
      <c r="B38" s="87" t="s">
        <v>299</v>
      </c>
      <c r="C38" s="88">
        <v>4</v>
      </c>
      <c r="D38" s="88">
        <v>4</v>
      </c>
      <c r="E38" s="88">
        <v>2</v>
      </c>
      <c r="H38" s="87" t="s">
        <v>299</v>
      </c>
      <c r="I38" s="88">
        <v>4</v>
      </c>
      <c r="J38" s="88">
        <v>4</v>
      </c>
      <c r="K38" s="88">
        <v>2</v>
      </c>
      <c r="N38" s="87" t="s">
        <v>299</v>
      </c>
      <c r="O38" s="88">
        <v>4</v>
      </c>
      <c r="P38" s="88">
        <v>4</v>
      </c>
      <c r="Q38" s="88">
        <v>2</v>
      </c>
    </row>
    <row r="39" spans="2:17" x14ac:dyDescent="0.25">
      <c r="B39" s="87" t="s">
        <v>282</v>
      </c>
      <c r="C39" s="88">
        <f>SUM(C32:C38)</f>
        <v>30</v>
      </c>
      <c r="D39" s="88">
        <f t="shared" ref="D39" si="11">SUM(D32:D38)</f>
        <v>34</v>
      </c>
      <c r="E39" s="88">
        <f t="shared" ref="E39" si="12">SUM(E32:E38)</f>
        <v>17</v>
      </c>
      <c r="H39" s="87" t="s">
        <v>282</v>
      </c>
      <c r="I39" s="88">
        <f>SUM(I32:I38)</f>
        <v>30</v>
      </c>
      <c r="J39" s="88">
        <f t="shared" ref="J39" si="13">SUM(J32:J38)</f>
        <v>34</v>
      </c>
      <c r="K39" s="88">
        <f t="shared" ref="K39" si="14">SUM(K32:K38)</f>
        <v>17</v>
      </c>
      <c r="N39" s="87" t="s">
        <v>282</v>
      </c>
      <c r="O39" s="88">
        <f>SUM(O32:O38)</f>
        <v>27</v>
      </c>
      <c r="P39" s="88">
        <f t="shared" ref="P39" si="15">SUM(P32:P38)</f>
        <v>34</v>
      </c>
      <c r="Q39" s="88">
        <f t="shared" ref="Q39" si="16">SUM(Q32:Q38)</f>
        <v>17</v>
      </c>
    </row>
    <row r="41" spans="2:17" ht="16.5" x14ac:dyDescent="0.25">
      <c r="B41" s="133" t="s">
        <v>300</v>
      </c>
      <c r="C41" s="133"/>
      <c r="D41" s="133"/>
      <c r="E41" s="133"/>
      <c r="H41" s="133" t="s">
        <v>300</v>
      </c>
      <c r="I41" s="133"/>
      <c r="J41" s="133"/>
      <c r="K41" s="133"/>
      <c r="N41" s="133" t="s">
        <v>300</v>
      </c>
      <c r="O41" s="133"/>
      <c r="P41" s="133"/>
      <c r="Q41" s="133"/>
    </row>
    <row r="43" spans="2:17" ht="36" x14ac:dyDescent="0.25">
      <c r="B43" s="89" t="s">
        <v>274</v>
      </c>
      <c r="C43" s="89" t="s">
        <v>271</v>
      </c>
      <c r="D43" s="89" t="s">
        <v>272</v>
      </c>
      <c r="E43" s="89" t="s">
        <v>273</v>
      </c>
      <c r="H43" s="33" t="s">
        <v>274</v>
      </c>
      <c r="I43" s="33" t="s">
        <v>271</v>
      </c>
      <c r="J43" s="33" t="s">
        <v>272</v>
      </c>
      <c r="K43" s="33" t="s">
        <v>273</v>
      </c>
      <c r="N43" s="42" t="s">
        <v>274</v>
      </c>
      <c r="O43" s="42" t="s">
        <v>271</v>
      </c>
      <c r="P43" s="42" t="s">
        <v>272</v>
      </c>
      <c r="Q43" s="42" t="s">
        <v>273</v>
      </c>
    </row>
    <row r="44" spans="2:17" x14ac:dyDescent="0.25">
      <c r="B44" s="87" t="s">
        <v>301</v>
      </c>
      <c r="C44" s="88">
        <v>4</v>
      </c>
      <c r="D44" s="88">
        <v>5</v>
      </c>
      <c r="E44" s="88">
        <v>1</v>
      </c>
      <c r="H44" s="87" t="s">
        <v>301</v>
      </c>
      <c r="I44" s="88">
        <v>4</v>
      </c>
      <c r="J44" s="88">
        <v>5</v>
      </c>
      <c r="K44" s="88">
        <v>1</v>
      </c>
      <c r="N44" s="87" t="s">
        <v>301</v>
      </c>
      <c r="O44" s="88">
        <v>3</v>
      </c>
      <c r="P44" s="88">
        <v>5</v>
      </c>
      <c r="Q44" s="88">
        <v>1</v>
      </c>
    </row>
    <row r="45" spans="2:17" x14ac:dyDescent="0.25">
      <c r="B45" s="87" t="s">
        <v>302</v>
      </c>
      <c r="C45" s="88">
        <v>4</v>
      </c>
      <c r="D45" s="88">
        <v>5</v>
      </c>
      <c r="E45" s="88">
        <v>1</v>
      </c>
      <c r="H45" s="87" t="s">
        <v>302</v>
      </c>
      <c r="I45" s="88">
        <v>4</v>
      </c>
      <c r="J45" s="88">
        <v>5</v>
      </c>
      <c r="K45" s="88">
        <v>1</v>
      </c>
      <c r="N45" s="87" t="s">
        <v>302</v>
      </c>
      <c r="O45" s="88">
        <v>3</v>
      </c>
      <c r="P45" s="88">
        <v>5</v>
      </c>
      <c r="Q45" s="88">
        <v>1</v>
      </c>
    </row>
    <row r="46" spans="2:17" x14ac:dyDescent="0.25">
      <c r="B46" s="87" t="s">
        <v>303</v>
      </c>
      <c r="C46" s="88">
        <v>3</v>
      </c>
      <c r="D46" s="88">
        <v>4</v>
      </c>
      <c r="E46" s="88">
        <v>1</v>
      </c>
      <c r="H46" s="87" t="s">
        <v>303</v>
      </c>
      <c r="I46" s="88">
        <v>3</v>
      </c>
      <c r="J46" s="88">
        <v>4</v>
      </c>
      <c r="K46" s="88">
        <v>1</v>
      </c>
      <c r="N46" s="87" t="s">
        <v>303</v>
      </c>
      <c r="O46" s="88">
        <v>2</v>
      </c>
      <c r="P46" s="88">
        <v>4</v>
      </c>
      <c r="Q46" s="88">
        <v>1</v>
      </c>
    </row>
    <row r="47" spans="2:17" x14ac:dyDescent="0.25">
      <c r="B47" s="87" t="s">
        <v>304</v>
      </c>
      <c r="C47" s="88">
        <v>0</v>
      </c>
      <c r="D47" s="88">
        <v>0</v>
      </c>
      <c r="E47" s="88">
        <v>0</v>
      </c>
      <c r="H47" s="87" t="s">
        <v>304</v>
      </c>
      <c r="I47" s="88">
        <v>0</v>
      </c>
      <c r="J47" s="88">
        <v>0</v>
      </c>
      <c r="K47" s="88">
        <v>0</v>
      </c>
      <c r="N47" s="87" t="s">
        <v>304</v>
      </c>
      <c r="O47" s="88">
        <v>0</v>
      </c>
      <c r="P47" s="88">
        <v>0</v>
      </c>
      <c r="Q47" s="88">
        <v>0</v>
      </c>
    </row>
    <row r="48" spans="2:17" x14ac:dyDescent="0.25">
      <c r="B48" s="87" t="s">
        <v>305</v>
      </c>
      <c r="C48" s="88">
        <v>3</v>
      </c>
      <c r="D48" s="88">
        <v>4</v>
      </c>
      <c r="E48" s="88">
        <v>1</v>
      </c>
      <c r="H48" s="87" t="s">
        <v>305</v>
      </c>
      <c r="I48" s="88">
        <v>3</v>
      </c>
      <c r="J48" s="88">
        <v>4</v>
      </c>
      <c r="K48" s="88">
        <v>1</v>
      </c>
      <c r="N48" s="87" t="s">
        <v>305</v>
      </c>
      <c r="O48" s="88">
        <v>2</v>
      </c>
      <c r="P48" s="88">
        <v>4</v>
      </c>
      <c r="Q48" s="88">
        <v>1</v>
      </c>
    </row>
    <row r="49" spans="2:17" x14ac:dyDescent="0.25">
      <c r="B49" s="87" t="s">
        <v>306</v>
      </c>
      <c r="C49" s="88">
        <v>3</v>
      </c>
      <c r="D49" s="88">
        <v>4</v>
      </c>
      <c r="E49" s="88">
        <v>1</v>
      </c>
      <c r="H49" s="87" t="s">
        <v>306</v>
      </c>
      <c r="I49" s="88">
        <v>3</v>
      </c>
      <c r="J49" s="88">
        <v>4</v>
      </c>
      <c r="K49" s="88">
        <v>1</v>
      </c>
      <c r="N49" s="87" t="s">
        <v>306</v>
      </c>
      <c r="O49" s="88">
        <v>2</v>
      </c>
      <c r="P49" s="88">
        <v>4</v>
      </c>
      <c r="Q49" s="88">
        <v>1</v>
      </c>
    </row>
    <row r="50" spans="2:17" x14ac:dyDescent="0.25">
      <c r="B50" s="87" t="s">
        <v>307</v>
      </c>
      <c r="C50" s="88">
        <f>SUM(C44:C49)</f>
        <v>17</v>
      </c>
      <c r="D50" s="88">
        <f>SUM(D44:D49)</f>
        <v>22</v>
      </c>
      <c r="E50" s="88">
        <f>SUM(E44:E49)</f>
        <v>5</v>
      </c>
      <c r="H50" s="87" t="s">
        <v>307</v>
      </c>
      <c r="I50" s="88">
        <f>SUM(I44:I49)</f>
        <v>17</v>
      </c>
      <c r="J50" s="88">
        <f>SUM(J44:J49)</f>
        <v>22</v>
      </c>
      <c r="K50" s="88">
        <f>SUM(K44:K49)</f>
        <v>5</v>
      </c>
      <c r="N50" s="87" t="s">
        <v>307</v>
      </c>
      <c r="O50" s="88">
        <f>SUM(O44:O49)</f>
        <v>12</v>
      </c>
      <c r="P50" s="88">
        <f>SUM(P44:P49)</f>
        <v>22</v>
      </c>
      <c r="Q50" s="88">
        <f>SUM(Q44:Q49)</f>
        <v>5</v>
      </c>
    </row>
    <row r="52" spans="2:17" ht="20.25" x14ac:dyDescent="0.25">
      <c r="B52" s="134" t="s">
        <v>308</v>
      </c>
      <c r="C52" s="134"/>
      <c r="D52" s="134"/>
      <c r="E52" s="134"/>
      <c r="H52" s="134" t="s">
        <v>308</v>
      </c>
      <c r="I52" s="134"/>
      <c r="J52" s="134"/>
      <c r="K52" s="134"/>
      <c r="N52" s="134" t="s">
        <v>308</v>
      </c>
      <c r="O52" s="134"/>
      <c r="P52" s="134"/>
      <c r="Q52" s="134"/>
    </row>
    <row r="53" spans="2:17" ht="16.5" x14ac:dyDescent="0.25">
      <c r="B53" s="90"/>
      <c r="H53" s="90"/>
      <c r="N53" s="90"/>
    </row>
    <row r="54" spans="2:17" ht="18.75" customHeight="1" x14ac:dyDescent="0.25">
      <c r="B54" s="89" t="s">
        <v>271</v>
      </c>
      <c r="C54" s="135" t="s">
        <v>54</v>
      </c>
      <c r="D54" s="136"/>
      <c r="E54" s="137"/>
      <c r="H54" s="33" t="s">
        <v>271</v>
      </c>
      <c r="I54" s="142" t="s">
        <v>54</v>
      </c>
      <c r="J54" s="143"/>
      <c r="K54" s="144"/>
      <c r="N54" s="42" t="s">
        <v>271</v>
      </c>
      <c r="O54" s="149" t="s">
        <v>54</v>
      </c>
      <c r="P54" s="150"/>
      <c r="Q54" s="151"/>
    </row>
    <row r="55" spans="2:17" x14ac:dyDescent="0.25">
      <c r="B55" s="87" t="s">
        <v>309</v>
      </c>
      <c r="C55" s="128" t="s">
        <v>315</v>
      </c>
      <c r="D55" s="128"/>
      <c r="E55" s="128"/>
      <c r="H55" s="87" t="s">
        <v>325</v>
      </c>
      <c r="I55" s="128" t="s">
        <v>326</v>
      </c>
      <c r="J55" s="128"/>
      <c r="K55" s="128"/>
      <c r="N55" s="87" t="s">
        <v>325</v>
      </c>
      <c r="O55" s="128" t="s">
        <v>326</v>
      </c>
      <c r="P55" s="128"/>
      <c r="Q55" s="128"/>
    </row>
    <row r="56" spans="2:17" x14ac:dyDescent="0.25">
      <c r="B56" s="87" t="s">
        <v>310</v>
      </c>
      <c r="C56" s="128" t="s">
        <v>315</v>
      </c>
      <c r="D56" s="128"/>
      <c r="E56" s="128"/>
      <c r="H56" s="87" t="s">
        <v>310</v>
      </c>
      <c r="I56" s="128" t="s">
        <v>326</v>
      </c>
      <c r="J56" s="128"/>
      <c r="K56" s="128"/>
      <c r="N56" s="87" t="s">
        <v>310</v>
      </c>
      <c r="O56" s="128" t="s">
        <v>326</v>
      </c>
      <c r="P56" s="128"/>
      <c r="Q56" s="128"/>
    </row>
    <row r="57" spans="2:17" x14ac:dyDescent="0.25">
      <c r="B57" s="87" t="s">
        <v>311</v>
      </c>
      <c r="C57" s="128" t="s">
        <v>316</v>
      </c>
      <c r="D57" s="128"/>
      <c r="E57" s="128"/>
      <c r="H57" s="87" t="s">
        <v>311</v>
      </c>
      <c r="I57" s="128" t="s">
        <v>327</v>
      </c>
      <c r="J57" s="128"/>
      <c r="K57" s="128"/>
      <c r="N57" s="87" t="s">
        <v>311</v>
      </c>
      <c r="O57" s="128" t="s">
        <v>327</v>
      </c>
      <c r="P57" s="128"/>
      <c r="Q57" s="128"/>
    </row>
    <row r="58" spans="2:17" x14ac:dyDescent="0.25">
      <c r="B58" s="87" t="s">
        <v>312</v>
      </c>
      <c r="C58" s="128" t="s">
        <v>317</v>
      </c>
      <c r="D58" s="128"/>
      <c r="E58" s="128"/>
      <c r="H58" s="87" t="s">
        <v>312</v>
      </c>
      <c r="I58" s="128" t="s">
        <v>328</v>
      </c>
      <c r="J58" s="128"/>
      <c r="K58" s="128"/>
      <c r="N58" s="87" t="s">
        <v>312</v>
      </c>
      <c r="O58" s="128" t="s">
        <v>339</v>
      </c>
      <c r="P58" s="128"/>
      <c r="Q58" s="128"/>
    </row>
    <row r="59" spans="2:17" x14ac:dyDescent="0.25">
      <c r="B59" s="87" t="s">
        <v>313</v>
      </c>
      <c r="C59" s="128" t="s">
        <v>318</v>
      </c>
      <c r="D59" s="128"/>
      <c r="E59" s="128"/>
      <c r="H59" s="87" t="s">
        <v>313</v>
      </c>
      <c r="I59" s="128" t="s">
        <v>329</v>
      </c>
      <c r="J59" s="128"/>
      <c r="K59" s="128"/>
      <c r="N59" s="87" t="s">
        <v>313</v>
      </c>
      <c r="O59" s="128" t="s">
        <v>340</v>
      </c>
      <c r="P59" s="128"/>
      <c r="Q59" s="128"/>
    </row>
    <row r="62" spans="2:17" ht="18.75" customHeight="1" x14ac:dyDescent="0.25">
      <c r="B62" s="89" t="s">
        <v>272</v>
      </c>
      <c r="C62" s="135" t="s">
        <v>54</v>
      </c>
      <c r="D62" s="136"/>
      <c r="E62" s="137"/>
      <c r="H62" s="33" t="s">
        <v>272</v>
      </c>
      <c r="I62" s="142" t="s">
        <v>54</v>
      </c>
      <c r="J62" s="143"/>
      <c r="K62" s="144"/>
      <c r="N62" s="42" t="s">
        <v>272</v>
      </c>
      <c r="O62" s="149" t="s">
        <v>54</v>
      </c>
      <c r="P62" s="150"/>
      <c r="Q62" s="151"/>
    </row>
    <row r="63" spans="2:17" x14ac:dyDescent="0.25">
      <c r="B63" s="87" t="s">
        <v>309</v>
      </c>
      <c r="C63" s="128" t="s">
        <v>315</v>
      </c>
      <c r="D63" s="128"/>
      <c r="E63" s="128"/>
      <c r="H63" s="87" t="s">
        <v>325</v>
      </c>
      <c r="I63" s="128" t="s">
        <v>326</v>
      </c>
      <c r="J63" s="128"/>
      <c r="K63" s="128"/>
      <c r="N63" s="87" t="s">
        <v>325</v>
      </c>
      <c r="O63" s="128" t="s">
        <v>326</v>
      </c>
      <c r="P63" s="128"/>
      <c r="Q63" s="128"/>
    </row>
    <row r="64" spans="2:17" x14ac:dyDescent="0.25">
      <c r="B64" s="87" t="s">
        <v>310</v>
      </c>
      <c r="C64" s="128" t="s">
        <v>315</v>
      </c>
      <c r="D64" s="128"/>
      <c r="E64" s="128"/>
      <c r="H64" s="87" t="s">
        <v>310</v>
      </c>
      <c r="I64" s="128" t="s">
        <v>326</v>
      </c>
      <c r="J64" s="128"/>
      <c r="K64" s="128"/>
      <c r="N64" s="87" t="s">
        <v>310</v>
      </c>
      <c r="O64" s="128" t="s">
        <v>326</v>
      </c>
      <c r="P64" s="128"/>
      <c r="Q64" s="128"/>
    </row>
    <row r="65" spans="2:17" x14ac:dyDescent="0.25">
      <c r="B65" s="87" t="s">
        <v>311</v>
      </c>
      <c r="C65" s="128" t="s">
        <v>316</v>
      </c>
      <c r="D65" s="128"/>
      <c r="E65" s="128"/>
      <c r="H65" s="87" t="s">
        <v>311</v>
      </c>
      <c r="I65" s="128" t="s">
        <v>327</v>
      </c>
      <c r="J65" s="128"/>
      <c r="K65" s="128"/>
      <c r="N65" s="87" t="s">
        <v>311</v>
      </c>
      <c r="O65" s="128" t="s">
        <v>327</v>
      </c>
      <c r="P65" s="128"/>
      <c r="Q65" s="128"/>
    </row>
    <row r="66" spans="2:17" x14ac:dyDescent="0.25">
      <c r="B66" s="87" t="s">
        <v>312</v>
      </c>
      <c r="C66" s="128" t="s">
        <v>319</v>
      </c>
      <c r="D66" s="128"/>
      <c r="E66" s="128"/>
      <c r="H66" s="87" t="s">
        <v>312</v>
      </c>
      <c r="I66" s="128" t="s">
        <v>330</v>
      </c>
      <c r="J66" s="128"/>
      <c r="K66" s="128"/>
      <c r="N66" s="87" t="s">
        <v>312</v>
      </c>
      <c r="O66" s="128" t="s">
        <v>330</v>
      </c>
      <c r="P66" s="128"/>
      <c r="Q66" s="128"/>
    </row>
    <row r="67" spans="2:17" x14ac:dyDescent="0.25">
      <c r="B67" s="87" t="s">
        <v>313</v>
      </c>
      <c r="C67" s="128" t="s">
        <v>320</v>
      </c>
      <c r="D67" s="128"/>
      <c r="E67" s="128"/>
      <c r="H67" s="87" t="s">
        <v>313</v>
      </c>
      <c r="I67" s="128" t="s">
        <v>331</v>
      </c>
      <c r="J67" s="128"/>
      <c r="K67" s="128"/>
      <c r="N67" s="87" t="s">
        <v>313</v>
      </c>
      <c r="O67" s="128" t="s">
        <v>341</v>
      </c>
      <c r="P67" s="128"/>
      <c r="Q67" s="128"/>
    </row>
    <row r="70" spans="2:17" ht="18.75" customHeight="1" x14ac:dyDescent="0.25">
      <c r="B70" s="89" t="s">
        <v>314</v>
      </c>
      <c r="C70" s="135" t="s">
        <v>54</v>
      </c>
      <c r="D70" s="136"/>
      <c r="E70" s="137"/>
      <c r="H70" s="33" t="s">
        <v>314</v>
      </c>
      <c r="I70" s="142" t="s">
        <v>54</v>
      </c>
      <c r="J70" s="143"/>
      <c r="K70" s="144"/>
      <c r="N70" s="42" t="s">
        <v>314</v>
      </c>
      <c r="O70" s="149" t="s">
        <v>54</v>
      </c>
      <c r="P70" s="150"/>
      <c r="Q70" s="151"/>
    </row>
    <row r="71" spans="2:17" x14ac:dyDescent="0.25">
      <c r="B71" s="87" t="s">
        <v>309</v>
      </c>
      <c r="C71" s="128" t="s">
        <v>321</v>
      </c>
      <c r="D71" s="128"/>
      <c r="E71" s="128"/>
      <c r="H71" s="87" t="s">
        <v>325</v>
      </c>
      <c r="I71" s="128" t="s">
        <v>327</v>
      </c>
      <c r="J71" s="128"/>
      <c r="K71" s="128"/>
      <c r="N71" s="87" t="s">
        <v>353</v>
      </c>
      <c r="O71" s="128" t="s">
        <v>326</v>
      </c>
      <c r="P71" s="128"/>
      <c r="Q71" s="128"/>
    </row>
    <row r="72" spans="2:17" x14ac:dyDescent="0.25">
      <c r="B72" s="87" t="s">
        <v>310</v>
      </c>
      <c r="C72" s="128" t="s">
        <v>322</v>
      </c>
      <c r="D72" s="128"/>
      <c r="E72" s="128"/>
      <c r="H72" s="87" t="s">
        <v>310</v>
      </c>
      <c r="I72" s="128" t="s">
        <v>332</v>
      </c>
      <c r="J72" s="128"/>
      <c r="K72" s="128"/>
      <c r="N72" s="87" t="s">
        <v>310</v>
      </c>
      <c r="O72" s="128" t="s">
        <v>342</v>
      </c>
      <c r="P72" s="128"/>
      <c r="Q72" s="128"/>
    </row>
    <row r="73" spans="2:17" x14ac:dyDescent="0.25">
      <c r="B73" s="87" t="s">
        <v>311</v>
      </c>
      <c r="C73" s="128" t="s">
        <v>316</v>
      </c>
      <c r="D73" s="128"/>
      <c r="E73" s="128"/>
      <c r="H73" s="87" t="s">
        <v>311</v>
      </c>
      <c r="I73" s="128" t="s">
        <v>327</v>
      </c>
      <c r="J73" s="128"/>
      <c r="K73" s="128"/>
      <c r="N73" s="87" t="s">
        <v>311</v>
      </c>
      <c r="O73" s="128" t="s">
        <v>327</v>
      </c>
      <c r="P73" s="128"/>
      <c r="Q73" s="128"/>
    </row>
    <row r="74" spans="2:17" x14ac:dyDescent="0.25">
      <c r="B74" s="87" t="s">
        <v>312</v>
      </c>
      <c r="C74" s="128" t="s">
        <v>323</v>
      </c>
      <c r="D74" s="128"/>
      <c r="E74" s="128"/>
      <c r="H74" s="87" t="s">
        <v>312</v>
      </c>
      <c r="I74" s="128" t="s">
        <v>333</v>
      </c>
      <c r="J74" s="128"/>
      <c r="K74" s="128"/>
      <c r="N74" s="87" t="s">
        <v>312</v>
      </c>
      <c r="O74" s="128" t="s">
        <v>343</v>
      </c>
      <c r="P74" s="128"/>
      <c r="Q74" s="128"/>
    </row>
    <row r="75" spans="2:17" x14ac:dyDescent="0.25">
      <c r="B75" s="87" t="s">
        <v>313</v>
      </c>
      <c r="C75" s="128" t="s">
        <v>324</v>
      </c>
      <c r="D75" s="128"/>
      <c r="E75" s="128"/>
      <c r="H75" s="87" t="s">
        <v>313</v>
      </c>
      <c r="I75" s="128" t="s">
        <v>334</v>
      </c>
      <c r="J75" s="128"/>
      <c r="K75" s="128"/>
      <c r="N75" s="87" t="s">
        <v>313</v>
      </c>
      <c r="O75" s="128" t="s">
        <v>344</v>
      </c>
      <c r="P75" s="128"/>
      <c r="Q75" s="128"/>
    </row>
    <row r="77" spans="2:17" ht="15.75" thickBot="1" x14ac:dyDescent="0.3"/>
    <row r="78" spans="2:17" x14ac:dyDescent="0.25">
      <c r="B78" s="91" t="s">
        <v>345</v>
      </c>
    </row>
    <row r="79" spans="2:17" x14ac:dyDescent="0.25">
      <c r="B79" s="92" t="s">
        <v>346</v>
      </c>
    </row>
    <row r="80" spans="2:17" x14ac:dyDescent="0.25">
      <c r="B80" s="92" t="s">
        <v>347</v>
      </c>
    </row>
    <row r="81" spans="2:2" x14ac:dyDescent="0.25">
      <c r="B81" s="92" t="s">
        <v>348</v>
      </c>
    </row>
    <row r="82" spans="2:2" x14ac:dyDescent="0.25">
      <c r="B82" s="92" t="s">
        <v>349</v>
      </c>
    </row>
    <row r="83" spans="2:2" ht="15.75" thickBot="1" x14ac:dyDescent="0.3">
      <c r="B83" s="93" t="s">
        <v>350</v>
      </c>
    </row>
  </sheetData>
  <mergeCells count="72">
    <mergeCell ref="O75:Q75"/>
    <mergeCell ref="O62:Q62"/>
    <mergeCell ref="O63:Q63"/>
    <mergeCell ref="O64:Q64"/>
    <mergeCell ref="O65:Q65"/>
    <mergeCell ref="O66:Q66"/>
    <mergeCell ref="O67:Q67"/>
    <mergeCell ref="O70:Q70"/>
    <mergeCell ref="O71:Q71"/>
    <mergeCell ref="O72:Q72"/>
    <mergeCell ref="O73:Q73"/>
    <mergeCell ref="O74:Q74"/>
    <mergeCell ref="O59:Q59"/>
    <mergeCell ref="N2:Q3"/>
    <mergeCell ref="N5:Q5"/>
    <mergeCell ref="N17:Q17"/>
    <mergeCell ref="N29:Q29"/>
    <mergeCell ref="N41:Q41"/>
    <mergeCell ref="N52:Q52"/>
    <mergeCell ref="O54:Q54"/>
    <mergeCell ref="O55:Q55"/>
    <mergeCell ref="O56:Q56"/>
    <mergeCell ref="O57:Q57"/>
    <mergeCell ref="O58:Q58"/>
    <mergeCell ref="I75:K75"/>
    <mergeCell ref="I62:K62"/>
    <mergeCell ref="I63:K63"/>
    <mergeCell ref="I64:K64"/>
    <mergeCell ref="I65:K65"/>
    <mergeCell ref="I66:K66"/>
    <mergeCell ref="I67:K67"/>
    <mergeCell ref="I70:K70"/>
    <mergeCell ref="I71:K71"/>
    <mergeCell ref="I72:K72"/>
    <mergeCell ref="I73:K73"/>
    <mergeCell ref="I74:K74"/>
    <mergeCell ref="C59:E59"/>
    <mergeCell ref="C58:E58"/>
    <mergeCell ref="I59:K59"/>
    <mergeCell ref="H2:K3"/>
    <mergeCell ref="H5:K5"/>
    <mergeCell ref="H17:K17"/>
    <mergeCell ref="H29:K29"/>
    <mergeCell ref="H41:K41"/>
    <mergeCell ref="H52:K52"/>
    <mergeCell ref="I54:K54"/>
    <mergeCell ref="I55:K55"/>
    <mergeCell ref="I56:K56"/>
    <mergeCell ref="I57:K57"/>
    <mergeCell ref="I58:K58"/>
    <mergeCell ref="C75:E75"/>
    <mergeCell ref="C62:E62"/>
    <mergeCell ref="C63:E63"/>
    <mergeCell ref="C64:E64"/>
    <mergeCell ref="C65:E65"/>
    <mergeCell ref="C66:E66"/>
    <mergeCell ref="C67:E67"/>
    <mergeCell ref="C70:E70"/>
    <mergeCell ref="C71:E71"/>
    <mergeCell ref="C72:E72"/>
    <mergeCell ref="C73:E73"/>
    <mergeCell ref="C74:E74"/>
    <mergeCell ref="C57:E57"/>
    <mergeCell ref="C56:E56"/>
    <mergeCell ref="C55:E55"/>
    <mergeCell ref="B2:E3"/>
    <mergeCell ref="B5:E5"/>
    <mergeCell ref="B17:E17"/>
    <mergeCell ref="B29:E29"/>
    <mergeCell ref="B41:E41"/>
    <mergeCell ref="B52:E52"/>
    <mergeCell ref="C54:E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📋 Instrucciones</vt:lpstr>
      <vt:lpstr>P1 1</vt:lpstr>
      <vt:lpstr>P2 2</vt:lpstr>
      <vt:lpstr>P3 3</vt:lpstr>
      <vt:lpstr>P4 4</vt:lpstr>
      <vt:lpstr>📊 Análisis</vt:lpstr>
      <vt:lpstr>🔀 Comparación Perfiles</vt:lpstr>
      <vt:lpstr>📝 Preguntas Abiertas</vt:lpstr>
      <vt:lpstr>🏆 Requisitos Prioritarios</vt:lpstr>
      <vt:lpstr>Benchmarkin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Oscar Andres  Perez</cp:lastModifiedBy>
  <cp:revision>0</cp:revision>
  <dcterms:created xsi:type="dcterms:W3CDTF">2026-03-30T16:09:46Z</dcterms:created>
  <dcterms:modified xsi:type="dcterms:W3CDTF">2026-04-23T01:13:24Z</dcterms:modified>
  <dc:language>en-US</dc:language>
</cp:coreProperties>
</file>